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sus\OneDrive\Documents\DATA ANALYTICS\my projects\"/>
    </mc:Choice>
  </mc:AlternateContent>
  <xr:revisionPtr revIDLastSave="0" documentId="13_ncr:1_{92CEA7DA-D324-4C0D-9061-FED655051165}" xr6:coauthVersionLast="47" xr6:coauthVersionMax="47" xr10:uidLastSave="{00000000-0000-0000-0000-000000000000}"/>
  <bookViews>
    <workbookView xWindow="-108" yWindow="-108" windowWidth="23256" windowHeight="12456" firstSheet="2" activeTab="4" xr2:uid="{346724B3-1C49-40AE-AA36-C77CF5D6DD09}"/>
  </bookViews>
  <sheets>
    <sheet name="pivots" sheetId="7" r:id="rId1"/>
    <sheet name="Sheet5" sheetId="9" r:id="rId2"/>
    <sheet name="Data" sheetId="1" r:id="rId3"/>
    <sheet name="Questions &amp; KPIs" sheetId="2" r:id="rId4"/>
    <sheet name="Dashboard" sheetId="8" r:id="rId5"/>
  </sheets>
  <definedNames>
    <definedName name="_xlchart.v5.0" hidden="1">pivots!$F$49:$G$49</definedName>
    <definedName name="_xlchart.v5.1" hidden="1">pivots!$F$50:$G$107</definedName>
    <definedName name="_xlchart.v5.2" hidden="1">pivots!$H$49</definedName>
    <definedName name="_xlchart.v5.3" hidden="1">pivots!$H$50:$H$107</definedName>
    <definedName name="_xlchart.v5.4" hidden="1">pivots!$K$49:$L$49</definedName>
    <definedName name="_xlchart.v5.5" hidden="1">pivots!$K$50:$L$107</definedName>
    <definedName name="_xlchart.v5.6" hidden="1">pivots!$M$49</definedName>
    <definedName name="_xlchart.v5.7" hidden="1">pivots!$M$50:$M$107</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0" i="7" l="1"/>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49" i="7"/>
  <c r="K50" i="7"/>
  <c r="L50" i="7"/>
  <c r="K51" i="7"/>
  <c r="L51" i="7"/>
  <c r="K52" i="7"/>
  <c r="L52" i="7"/>
  <c r="K53" i="7"/>
  <c r="L53" i="7"/>
  <c r="K54" i="7"/>
  <c r="L54" i="7"/>
  <c r="K55" i="7"/>
  <c r="L55" i="7"/>
  <c r="K56" i="7"/>
  <c r="L56" i="7"/>
  <c r="K57" i="7"/>
  <c r="L57" i="7"/>
  <c r="K58" i="7"/>
  <c r="L58" i="7"/>
  <c r="K59" i="7"/>
  <c r="L59" i="7"/>
  <c r="K60" i="7"/>
  <c r="L60" i="7"/>
  <c r="K61" i="7"/>
  <c r="L61" i="7"/>
  <c r="K62" i="7"/>
  <c r="L62" i="7"/>
  <c r="K63" i="7"/>
  <c r="L63" i="7"/>
  <c r="K64" i="7"/>
  <c r="L64" i="7"/>
  <c r="K65" i="7"/>
  <c r="L65" i="7"/>
  <c r="K66" i="7"/>
  <c r="L66" i="7"/>
  <c r="K67" i="7"/>
  <c r="L67" i="7"/>
  <c r="K68" i="7"/>
  <c r="L68" i="7"/>
  <c r="K69" i="7"/>
  <c r="L69" i="7"/>
  <c r="K70" i="7"/>
  <c r="L70" i="7"/>
  <c r="K71" i="7"/>
  <c r="L71" i="7"/>
  <c r="K72" i="7"/>
  <c r="L72" i="7"/>
  <c r="K73" i="7"/>
  <c r="L73" i="7"/>
  <c r="K74" i="7"/>
  <c r="L74" i="7"/>
  <c r="K75" i="7"/>
  <c r="L75" i="7"/>
  <c r="K76" i="7"/>
  <c r="L76" i="7"/>
  <c r="K77" i="7"/>
  <c r="L77" i="7"/>
  <c r="K78" i="7"/>
  <c r="L78" i="7"/>
  <c r="K79" i="7"/>
  <c r="L79" i="7"/>
  <c r="K80" i="7"/>
  <c r="L80" i="7"/>
  <c r="K81" i="7"/>
  <c r="L81" i="7"/>
  <c r="K82" i="7"/>
  <c r="L82" i="7"/>
  <c r="K83" i="7"/>
  <c r="L83" i="7"/>
  <c r="K84" i="7"/>
  <c r="L84" i="7"/>
  <c r="K85" i="7"/>
  <c r="L85" i="7"/>
  <c r="K86" i="7"/>
  <c r="L86" i="7"/>
  <c r="K87" i="7"/>
  <c r="L87" i="7"/>
  <c r="K88" i="7"/>
  <c r="L88" i="7"/>
  <c r="K89" i="7"/>
  <c r="L89" i="7"/>
  <c r="K90" i="7"/>
  <c r="L90" i="7"/>
  <c r="K91" i="7"/>
  <c r="L91" i="7"/>
  <c r="K92" i="7"/>
  <c r="L92" i="7"/>
  <c r="K93" i="7"/>
  <c r="L93" i="7"/>
  <c r="K94" i="7"/>
  <c r="L94" i="7"/>
  <c r="K95" i="7"/>
  <c r="L95" i="7"/>
  <c r="K96" i="7"/>
  <c r="L96" i="7"/>
  <c r="K97" i="7"/>
  <c r="L97" i="7"/>
  <c r="K98" i="7"/>
  <c r="L98" i="7"/>
  <c r="K99" i="7"/>
  <c r="L99" i="7"/>
  <c r="K100" i="7"/>
  <c r="L100" i="7"/>
  <c r="K101" i="7"/>
  <c r="L101" i="7"/>
  <c r="K102" i="7"/>
  <c r="L102" i="7"/>
  <c r="K103" i="7"/>
  <c r="L103" i="7"/>
  <c r="K104" i="7"/>
  <c r="L104" i="7"/>
  <c r="K105" i="7"/>
  <c r="L105" i="7"/>
  <c r="K106" i="7"/>
  <c r="L106" i="7"/>
  <c r="K107" i="7"/>
  <c r="L107" i="7"/>
  <c r="L49" i="7"/>
  <c r="K49" i="7"/>
  <c r="F68" i="7"/>
  <c r="G68" i="7"/>
  <c r="H68" i="7"/>
  <c r="F69" i="7"/>
  <c r="G69" i="7"/>
  <c r="H69" i="7"/>
  <c r="F70" i="7"/>
  <c r="G70" i="7"/>
  <c r="H70" i="7"/>
  <c r="F71" i="7"/>
  <c r="G71" i="7"/>
  <c r="H71" i="7"/>
  <c r="F72" i="7"/>
  <c r="G72" i="7"/>
  <c r="H72" i="7"/>
  <c r="F73" i="7"/>
  <c r="G73" i="7"/>
  <c r="H73" i="7"/>
  <c r="F74" i="7"/>
  <c r="G74" i="7"/>
  <c r="H74" i="7"/>
  <c r="F75" i="7"/>
  <c r="G75" i="7"/>
  <c r="H75" i="7"/>
  <c r="F76" i="7"/>
  <c r="G76" i="7"/>
  <c r="H76" i="7"/>
  <c r="F77" i="7"/>
  <c r="G77" i="7"/>
  <c r="H77" i="7"/>
  <c r="F78" i="7"/>
  <c r="G78" i="7"/>
  <c r="H78" i="7"/>
  <c r="F79" i="7"/>
  <c r="G79" i="7"/>
  <c r="H79" i="7"/>
  <c r="F80" i="7"/>
  <c r="G80" i="7"/>
  <c r="H80" i="7"/>
  <c r="F81" i="7"/>
  <c r="G81" i="7"/>
  <c r="H81" i="7"/>
  <c r="F82" i="7"/>
  <c r="G82" i="7"/>
  <c r="H82" i="7"/>
  <c r="F83" i="7"/>
  <c r="G83" i="7"/>
  <c r="H83" i="7"/>
  <c r="F84" i="7"/>
  <c r="G84" i="7"/>
  <c r="H84" i="7"/>
  <c r="F85" i="7"/>
  <c r="G85" i="7"/>
  <c r="H85" i="7"/>
  <c r="F86" i="7"/>
  <c r="G86" i="7"/>
  <c r="H86" i="7"/>
  <c r="F87" i="7"/>
  <c r="G87" i="7"/>
  <c r="H87" i="7"/>
  <c r="F88" i="7"/>
  <c r="G88" i="7"/>
  <c r="H88" i="7"/>
  <c r="F89" i="7"/>
  <c r="G89" i="7"/>
  <c r="H89" i="7"/>
  <c r="F90" i="7"/>
  <c r="G90" i="7"/>
  <c r="H90" i="7"/>
  <c r="F91" i="7"/>
  <c r="G91" i="7"/>
  <c r="H91" i="7"/>
  <c r="F92" i="7"/>
  <c r="G92" i="7"/>
  <c r="H92" i="7"/>
  <c r="F93" i="7"/>
  <c r="G93" i="7"/>
  <c r="H93" i="7"/>
  <c r="F94" i="7"/>
  <c r="G94" i="7"/>
  <c r="H94" i="7"/>
  <c r="F95" i="7"/>
  <c r="G95" i="7"/>
  <c r="H95" i="7"/>
  <c r="F96" i="7"/>
  <c r="G96" i="7"/>
  <c r="H96" i="7"/>
  <c r="F97" i="7"/>
  <c r="G97" i="7"/>
  <c r="H97" i="7"/>
  <c r="F98" i="7"/>
  <c r="G98" i="7"/>
  <c r="H98" i="7"/>
  <c r="F99" i="7"/>
  <c r="G99" i="7"/>
  <c r="H99" i="7"/>
  <c r="F100" i="7"/>
  <c r="G100" i="7"/>
  <c r="H100" i="7"/>
  <c r="F101" i="7"/>
  <c r="G101" i="7"/>
  <c r="H101" i="7"/>
  <c r="F102" i="7"/>
  <c r="G102" i="7"/>
  <c r="H102" i="7"/>
  <c r="F103" i="7"/>
  <c r="G103" i="7"/>
  <c r="H103" i="7"/>
  <c r="F104" i="7"/>
  <c r="G104" i="7"/>
  <c r="H104" i="7"/>
  <c r="F105" i="7"/>
  <c r="G105" i="7"/>
  <c r="H105" i="7"/>
  <c r="F106" i="7"/>
  <c r="G106" i="7"/>
  <c r="H106" i="7"/>
  <c r="F107" i="7"/>
  <c r="G107" i="7"/>
  <c r="H107" i="7"/>
  <c r="F50" i="7"/>
  <c r="G50" i="7"/>
  <c r="H50" i="7"/>
  <c r="F51" i="7"/>
  <c r="G51" i="7"/>
  <c r="H51" i="7"/>
  <c r="F52" i="7"/>
  <c r="G52" i="7"/>
  <c r="H52" i="7"/>
  <c r="F53" i="7"/>
  <c r="G53" i="7"/>
  <c r="H53" i="7"/>
  <c r="F54" i="7"/>
  <c r="G54" i="7"/>
  <c r="H54" i="7"/>
  <c r="F55" i="7"/>
  <c r="G55" i="7"/>
  <c r="H55" i="7"/>
  <c r="F56" i="7"/>
  <c r="G56" i="7"/>
  <c r="H56" i="7"/>
  <c r="F57" i="7"/>
  <c r="G57" i="7"/>
  <c r="H57" i="7"/>
  <c r="F58" i="7"/>
  <c r="G58" i="7"/>
  <c r="H58" i="7"/>
  <c r="F59" i="7"/>
  <c r="G59" i="7"/>
  <c r="H59" i="7"/>
  <c r="F60" i="7"/>
  <c r="G60" i="7"/>
  <c r="H60" i="7"/>
  <c r="F61" i="7"/>
  <c r="G61" i="7"/>
  <c r="H61" i="7"/>
  <c r="F62" i="7"/>
  <c r="G62" i="7"/>
  <c r="H62" i="7"/>
  <c r="F63" i="7"/>
  <c r="G63" i="7"/>
  <c r="H63" i="7"/>
  <c r="F64" i="7"/>
  <c r="G64" i="7"/>
  <c r="H64" i="7"/>
  <c r="F65" i="7"/>
  <c r="G65" i="7"/>
  <c r="H65" i="7"/>
  <c r="F66" i="7"/>
  <c r="G66" i="7"/>
  <c r="H66" i="7"/>
  <c r="F67" i="7"/>
  <c r="G67" i="7"/>
  <c r="H67" i="7"/>
  <c r="G49" i="7"/>
  <c r="H49" i="7"/>
  <c r="F49" i="7"/>
  <c r="I4" i="9"/>
  <c r="J4" i="9"/>
  <c r="K4" i="9"/>
  <c r="L4" i="9"/>
  <c r="I5" i="9"/>
  <c r="J5" i="9"/>
  <c r="K5" i="9"/>
  <c r="L5" i="9"/>
  <c r="I6" i="9"/>
  <c r="J6" i="9"/>
  <c r="K6" i="9"/>
  <c r="L6" i="9"/>
  <c r="I7" i="9"/>
  <c r="J7" i="9"/>
  <c r="K7" i="9"/>
  <c r="L7" i="9"/>
  <c r="I8" i="9"/>
  <c r="J8" i="9"/>
  <c r="K8" i="9"/>
  <c r="L8" i="9"/>
  <c r="I9" i="9"/>
  <c r="J9" i="9"/>
  <c r="K9" i="9"/>
  <c r="L9" i="9"/>
  <c r="H6" i="9"/>
  <c r="H7" i="9"/>
  <c r="H8" i="9"/>
  <c r="H9" i="9"/>
  <c r="H5" i="9"/>
  <c r="K4" i="7"/>
  <c r="J4" i="7"/>
  <c r="I4" i="7"/>
  <c r="H4" i="7"/>
  <c r="G4" i="7"/>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<sst xmlns="http://schemas.openxmlformats.org/spreadsheetml/2006/main" count="14644" uniqueCount="2553">
  <si>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</si>
  <si>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</si>
  <si>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</si>
  <si>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</si>
  <si>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</si>
  <si>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</si>
  <si>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</si>
  <si>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</si>
  <si>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</si>
  <si>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</si>
  <si>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</si>
  <si>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</si>
  <si>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</si>
  <si>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</si>
  <si>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</si>
  <si>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</si>
  <si>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</si>
  <si>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</si>
  <si>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</si>
  <si>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</si>
  <si>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</si>
  <si>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</si>
  <si>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</si>
  <si>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</si>
  <si>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</si>
  <si>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</si>
  <si>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</si>
  <si>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</si>
  <si>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</si>
  <si>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</si>
  <si>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</si>
  <si>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</si>
  <si>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</si>
  <si>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</si>
  <si>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</si>
  <si>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</si>
  <si>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</si>
  <si>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</si>
  <si>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</si>
  <si>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</si>
  <si>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</si>
  <si>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</si>
  <si>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</si>
  <si>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</si>
  <si>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</si>
  <si>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</si>
  <si>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</si>
  <si>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</si>
  <si>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</si>
  <si>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</si>
  <si>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</si>
  <si>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</si>
  <si>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</si>
  <si>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</si>
  <si>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</si>
  <si>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</si>
  <si>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</si>
  <si>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</si>
  <si>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</si>
  <si>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</si>
  <si>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</si>
  <si>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</si>
  <si>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</si>
  <si>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</si>
  <si>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</si>
  <si>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</si>
  <si>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</si>
  <si>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</si>
  <si>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</si>
  <si>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</si>
  <si>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</si>
  <si>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</si>
  <si>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</si>
  <si>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</si>
  <si>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</si>
  <si>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</si>
  <si>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</si>
  <si>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</si>
  <si>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</si>
  <si>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</si>
  <si>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</si>
  <si>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</si>
  <si>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</si>
  <si>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</si>
  <si>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</si>
  <si>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</si>
  <si>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</si>
  <si>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</si>
  <si>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</si>
  <si>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</si>
  <si>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</si>
  <si>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</si>
  <si>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</si>
  <si>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</si>
  <si>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</si>
  <si>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</si>
  <si>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</si>
  <si>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</si>
  <si>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</si>
  <si>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</si>
  <si>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</si>
  <si>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</si>
  <si>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</si>
  <si>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</si>
  <si>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</si>
  <si>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</si>
  <si>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</si>
  <si>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</si>
  <si>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</si>
  <si>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</si>
  <si>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</si>
  <si>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</si>
  <si>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</si>
  <si>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</si>
  <si>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</si>
  <si>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</si>
  <si>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</si>
  <si>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</si>
  <si>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</si>
  <si>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</si>
  <si>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</si>
  <si>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</si>
  <si>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</si>
  <si>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</si>
  <si>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</si>
  <si>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</si>
  <si>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</si>
  <si>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</si>
  <si>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</si>
  <si>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</si>
  <si>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</si>
  <si>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</si>
  <si>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</si>
  <si>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</si>
  <si>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</si>
  <si>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</si>
  <si>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</si>
  <si>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</si>
  <si>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</si>
  <si>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</si>
  <si>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</si>
  <si>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</si>
  <si>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</si>
  <si>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</si>
  <si>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</si>
  <si>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</si>
  <si>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</si>
  <si>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</si>
  <si>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</si>
  <si>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</si>
  <si>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</si>
  <si>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</si>
  <si>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</si>
  <si>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</si>
  <si>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</si>
  <si>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</si>
  <si>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</si>
  <si>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</si>
  <si>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</si>
  <si>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</si>
  <si>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</si>
  <si>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</si>
  <si>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</si>
  <si>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</si>
  <si>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</si>
  <si>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</si>
  <si>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</si>
  <si>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</si>
  <si>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</si>
  <si>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</si>
  <si>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</si>
  <si>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</si>
  <si>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</si>
  <si>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</si>
  <si>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</si>
  <si>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</si>
  <si>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</si>
  <si>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</si>
  <si>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</si>
  <si>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</si>
  <si>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</si>
  <si>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</si>
  <si>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</si>
  <si>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</si>
  <si>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</si>
  <si>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</si>
  <si>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</si>
  <si>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</si>
  <si>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</si>
  <si>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</si>
  <si>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</si>
  <si>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</si>
  <si>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</si>
  <si>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</si>
  <si>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</si>
  <si>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</si>
  <si>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</si>
  <si>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</si>
  <si>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</si>
  <si>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</si>
  <si>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</si>
  <si>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</si>
  <si>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</si>
  <si>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</si>
  <si>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</si>
  <si>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</si>
  <si>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</si>
  <si>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</si>
  <si>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</si>
  <si>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</si>
  <si>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</si>
  <si>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</si>
  <si>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</si>
  <si>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</si>
  <si>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</si>
  <si>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</si>
  <si>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</si>
  <si>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</si>
  <si>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</si>
  <si>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</si>
  <si>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</si>
  <si>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</si>
  <si>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</si>
  <si>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</si>
  <si>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</si>
  <si>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</si>
  <si>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</si>
  <si>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</si>
  <si>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</si>
  <si>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</si>
  <si>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</si>
  <si>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</si>
  <si>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</si>
  <si>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</si>
  <si>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</si>
  <si>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</si>
  <si>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</si>
  <si>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</si>
  <si>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</si>
  <si>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</si>
  <si>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</si>
  <si>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</si>
  <si>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</si>
  <si>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</si>
  <si>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</si>
  <si>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</si>
  <si>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</si>
  <si>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</si>
  <si>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</si>
  <si>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</si>
  <si>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</si>
  <si>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</si>
  <si>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</si>
  <si>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</si>
  <si>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</si>
  <si>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</si>
  <si>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</si>
  <si>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</si>
  <si>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</si>
  <si>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</si>
  <si>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</si>
  <si>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</si>
  <si>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</si>
  <si>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</si>
  <si>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</si>
  <si>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</si>
  <si>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</si>
  <si>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</si>
  <si>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</si>
  <si>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</si>
  <si>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</si>
  <si>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</si>
  <si>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</si>
  <si>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</si>
  <si>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</si>
  <si>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</si>
  <si>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</si>
  <si>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</si>
  <si>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</si>
  <si>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</si>
  <si>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</si>
  <si>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</si>
  <si>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</si>
  <si>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</si>
  <si>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</si>
  <si>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</si>
  <si>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</si>
  <si>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</si>
  <si>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</si>
  <si>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</si>
  <si>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</si>
  <si>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</si>
  <si>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</si>
  <si>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</si>
  <si>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</si>
  <si>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</si>
  <si>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</si>
  <si>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</si>
  <si>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</si>
  <si>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</si>
  <si>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</si>
  <si>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</si>
  <si>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</si>
  <si>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</si>
  <si>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</si>
  <si>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</si>
  <si>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</si>
  <si>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</si>
  <si>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</si>
  <si>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</si>
  <si>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</si>
  <si>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</si>
  <si>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</si>
  <si>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</si>
  <si>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</si>
  <si>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</si>
  <si>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</si>
  <si>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</si>
  <si>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</si>
  <si>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</si>
  <si>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</si>
  <si>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</si>
  <si>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</si>
  <si>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</si>
  <si>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</si>
  <si>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</si>
  <si>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</si>
  <si>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</si>
  <si>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</si>
  <si>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</si>
  <si>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</si>
  <si>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</si>
  <si>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</si>
  <si>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</si>
  <si>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</si>
  <si>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</si>
  <si>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</si>
  <si>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</si>
  <si>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</si>
  <si>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</si>
  <si>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</si>
  <si>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</si>
  <si>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</si>
  <si>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</si>
  <si>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</si>
  <si>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</si>
  <si>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</si>
  <si>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</si>
  <si>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</si>
  <si>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</si>
  <si>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</si>
  <si>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</si>
  <si>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</si>
  <si>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</si>
  <si>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</si>
  <si>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</si>
  <si>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</si>
  <si>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</si>
  <si>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</si>
  <si>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</si>
  <si>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</si>
  <si>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</si>
  <si>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</si>
  <si>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</si>
  <si>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</si>
  <si>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</si>
  <si>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</si>
  <si>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</si>
  <si>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</si>
  <si>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</si>
  <si>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</si>
  <si>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</si>
  <si>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</si>
  <si>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</si>
  <si>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</si>
  <si>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</si>
  <si>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</si>
  <si>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</si>
  <si>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</si>
  <si>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</si>
  <si>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</si>
  <si>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</si>
  <si>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</si>
  <si>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</si>
  <si>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</si>
  <si>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</si>
  <si>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</si>
  <si>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</si>
  <si>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</si>
  <si>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</si>
  <si>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</si>
  <si>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</si>
  <si>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</si>
  <si>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</si>
  <si>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</si>
  <si>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</si>
  <si>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</si>
  <si>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</si>
  <si>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</si>
  <si>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</si>
  <si>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</si>
  <si>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</si>
  <si>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</si>
  <si>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</si>
  <si>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</si>
  <si>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</si>
  <si>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</si>
  <si>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</si>
  <si>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</si>
  <si>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</si>
  <si>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</si>
  <si>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</si>
  <si>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</si>
  <si>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</si>
  <si>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</si>
  <si>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</si>
  <si>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</si>
  <si>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</si>
  <si>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</si>
  <si>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</si>
  <si>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</si>
  <si>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</si>
  <si>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</si>
  <si>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</si>
  <si>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</si>
  <si>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</si>
  <si>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</si>
  <si>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</si>
  <si>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</si>
  <si>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</si>
  <si>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</si>
  <si>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</si>
  <si>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</si>
  <si>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</si>
  <si>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</si>
  <si>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</si>
  <si>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</si>
  <si>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</si>
  <si>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</si>
  <si>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</si>
  <si>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</si>
  <si>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</si>
  <si>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</si>
  <si>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</si>
  <si>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</si>
  <si>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</si>
  <si>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</si>
  <si>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</si>
  <si>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</si>
  <si>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</si>
  <si>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</si>
  <si>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</si>
  <si>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</si>
  <si>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</si>
  <si>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</si>
  <si>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</si>
  <si>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</si>
  <si>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</si>
  <si>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</si>
  <si>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</si>
  <si>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</si>
  <si>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</si>
  <si>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</si>
  <si>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</si>
  <si>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</si>
  <si>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</si>
  <si>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</si>
  <si>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</si>
  <si>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</si>
  <si>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</si>
  <si>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</si>
  <si>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</si>
  <si>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</si>
  <si>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</si>
  <si>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</si>
  <si>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</si>
  <si>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</si>
  <si>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</si>
  <si>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</si>
  <si>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</si>
  <si>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</si>
  <si>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</si>
  <si>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</si>
  <si>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</si>
  <si>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</si>
  <si>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</si>
  <si>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</si>
  <si>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</si>
  <si>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</si>
  <si>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</si>
  <si>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</si>
  <si>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</si>
  <si>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</si>
  <si>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</si>
  <si>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</si>
  <si>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</si>
  <si>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</si>
  <si>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</si>
  <si>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</si>
  <si>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</si>
  <si>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</si>
  <si>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</si>
  <si>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</si>
  <si>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</si>
  <si>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</si>
  <si>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</si>
  <si>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</si>
  <si>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</si>
  <si>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</si>
  <si>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</si>
  <si>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</si>
  <si>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</si>
  <si>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</si>
  <si>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</si>
  <si>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</si>
  <si>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</si>
  <si>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</si>
  <si>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</si>
  <si>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</si>
  <si>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</si>
  <si>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</si>
  <si>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</si>
  <si>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</si>
  <si>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</si>
  <si>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</si>
  <si>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</si>
  <si>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</si>
  <si>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</si>
  <si>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</si>
  <si>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</si>
  <si>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</si>
  <si>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</si>
  <si>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</si>
  <si>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</si>
  <si>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</si>
  <si>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</si>
  <si>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</si>
  <si>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</si>
  <si>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</si>
  <si>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</si>
  <si>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</si>
  <si>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</si>
  <si>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</si>
  <si>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</si>
  <si>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</si>
  <si>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</si>
  <si>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</si>
  <si>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</si>
  <si>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</si>
  <si>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</si>
  <si>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</si>
  <si>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</si>
  <si>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</si>
  <si>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</si>
  <si>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</si>
  <si>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</si>
  <si>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</si>
  <si>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</si>
  <si>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</si>
  <si>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</si>
  <si>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</si>
  <si>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</si>
  <si>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</si>
  <si>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</si>
  <si>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</si>
  <si>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</si>
  <si>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</si>
  <si>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</si>
  <si>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</si>
  <si>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</si>
  <si>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</si>
  <si>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</si>
  <si>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</si>
  <si>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</si>
  <si>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</si>
  <si>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</si>
  <si>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</si>
  <si>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</si>
  <si>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</si>
  <si>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</si>
  <si>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</si>
  <si>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</si>
  <si>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</si>
  <si>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</si>
  <si>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</si>
  <si>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</si>
  <si>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</si>
  <si>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</si>
  <si>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</si>
  <si>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</si>
  <si>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</si>
  <si>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</si>
  <si>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</si>
  <si>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</si>
  <si>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</si>
  <si>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</si>
  <si>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</si>
  <si>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</si>
  <si>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</si>
  <si>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</si>
  <si>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</si>
  <si>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</si>
  <si>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</si>
  <si>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</si>
  <si>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</si>
  <si>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</si>
  <si>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</si>
  <si>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</si>
  <si>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</si>
  <si>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</si>
  <si>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</si>
  <si>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</si>
  <si>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</si>
  <si>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</si>
  <si>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</si>
  <si>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</si>
  <si>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</si>
  <si>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</si>
  <si>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</si>
  <si>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</si>
  <si>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</si>
  <si>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</si>
  <si>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</si>
  <si>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</si>
  <si>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</si>
  <si>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</si>
  <si>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</si>
  <si>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</si>
  <si>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</si>
  <si>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</si>
  <si>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</si>
  <si>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</si>
  <si>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</si>
  <si>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</si>
  <si>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</si>
  <si>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</si>
  <si>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</si>
  <si>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</si>
  <si>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</si>
  <si>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</si>
  <si>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</si>
  <si>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</si>
  <si>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</si>
  <si>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</si>
  <si>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</si>
  <si>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</si>
  <si>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</si>
  <si>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</si>
  <si>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</si>
  <si>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</si>
  <si>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</si>
  <si>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</si>
  <si>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</si>
  <si>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</si>
  <si>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</si>
  <si>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</si>
  <si>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</si>
  <si>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</si>
  <si>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</si>
  <si>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</si>
  <si>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</si>
  <si>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</si>
  <si>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</si>
  <si>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</si>
  <si>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</si>
  <si>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</si>
  <si>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</si>
  <si>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</si>
  <si>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</si>
  <si>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</si>
  <si>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</si>
  <si>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</si>
  <si>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</si>
  <si>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</si>
  <si>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</si>
  <si>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</si>
  <si>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</si>
  <si>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</si>
  <si>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</si>
  <si>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</si>
  <si>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</si>
  <si>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</si>
  <si>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</si>
  <si>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</si>
  <si>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</si>
  <si>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</si>
  <si>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</si>
  <si>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</si>
  <si>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</si>
  <si>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</si>
  <si>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</si>
  <si>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</si>
  <si>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</si>
  <si>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</si>
  <si>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</si>
  <si>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</si>
  <si>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</si>
  <si>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</si>
  <si>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</si>
  <si>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</si>
  <si>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</si>
  <si>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</si>
  <si>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</si>
  <si>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</si>
  <si>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</si>
  <si>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</si>
  <si>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</si>
  <si>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</si>
  <si>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</si>
  <si>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</si>
  <si>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</si>
  <si>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</si>
  <si>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</si>
  <si>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</si>
  <si>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</si>
  <si>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</si>
  <si>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</si>
  <si>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</si>
  <si>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</si>
  <si>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</si>
  <si>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</si>
  <si>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</si>
  <si>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</si>
  <si>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</si>
  <si>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</si>
  <si>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</si>
  <si>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</si>
  <si>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</si>
  <si>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</si>
  <si>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</si>
  <si>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</si>
  <si>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</si>
  <si>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</si>
  <si>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</si>
  <si>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</si>
  <si>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</si>
  <si>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</si>
  <si>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</si>
  <si>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</si>
  <si>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</si>
  <si>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</si>
  <si>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</si>
  <si>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</si>
  <si>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</si>
  <si>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</si>
  <si>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</si>
  <si>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</si>
  <si>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</si>
  <si>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</si>
  <si>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</si>
  <si>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</si>
  <si>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</si>
  <si>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</si>
  <si>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</si>
  <si>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</si>
  <si>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</si>
  <si>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</si>
  <si>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</si>
  <si>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</si>
  <si>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</si>
  <si>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</si>
  <si>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</si>
  <si>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</si>
  <si>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</si>
  <si>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</si>
  <si>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</si>
  <si>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</si>
  <si>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</si>
  <si>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</si>
  <si>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</si>
  <si>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</si>
  <si>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</si>
  <si>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</si>
  <si>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</si>
  <si>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</si>
  <si>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</si>
  <si>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</si>
  <si>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</si>
  <si>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</si>
  <si>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</si>
  <si>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</si>
  <si>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</si>
  <si>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</si>
  <si>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</si>
  <si>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</si>
  <si>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</si>
  <si>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</si>
  <si>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</si>
  <si>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</si>
  <si>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</si>
  <si>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</si>
  <si>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</si>
  <si>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</si>
  <si>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</si>
  <si>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</si>
  <si>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</si>
  <si>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</si>
  <si>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</si>
  <si>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</si>
  <si>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</si>
  <si>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</si>
  <si>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</si>
  <si>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</si>
  <si>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</si>
  <si>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</si>
  <si>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</si>
  <si>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</si>
  <si>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</si>
  <si>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</si>
  <si>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</si>
  <si>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</si>
  <si>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</si>
  <si>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</si>
  <si>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</si>
  <si>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</si>
  <si>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</si>
  <si>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</si>
  <si>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</si>
  <si>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</si>
  <si>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</si>
  <si>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</si>
  <si>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</si>
  <si>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</si>
  <si>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</si>
  <si>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</si>
  <si>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</si>
  <si>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</si>
  <si>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</si>
  <si>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</si>
  <si>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</si>
  <si>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</si>
  <si>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</si>
  <si>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</si>
  <si>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</si>
  <si>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</si>
  <si>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</si>
  <si>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</si>
  <si>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</si>
  <si>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</si>
  <si>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</si>
  <si>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</si>
  <si>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</si>
  <si>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</si>
  <si>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</si>
  <si>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</si>
  <si>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</si>
  <si>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</si>
  <si>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</si>
  <si>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</si>
  <si>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</si>
  <si>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</si>
  <si>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</si>
  <si>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</si>
  <si>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</si>
  <si>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</si>
  <si>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</si>
  <si>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</si>
  <si>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</si>
  <si>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</si>
  <si>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</si>
  <si>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</si>
  <si>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</si>
  <si>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</si>
  <si>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</si>
  <si>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</si>
  <si>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</si>
  <si>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</si>
  <si>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</si>
  <si>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</si>
  <si>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</si>
  <si>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</si>
  <si>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</si>
  <si>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</si>
  <si>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</si>
  <si>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</si>
  <si>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</si>
  <si>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</si>
  <si>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</si>
  <si>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</si>
  <si>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</si>
  <si>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</si>
  <si>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</si>
  <si>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</si>
  <si>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</si>
  <si>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</si>
  <si>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</si>
  <si>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</si>
  <si>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</si>
  <si>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</si>
  <si>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</si>
  <si>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</si>
  <si>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</si>
  <si>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</si>
  <si>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</si>
  <si>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</si>
  <si>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</si>
  <si>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</si>
  <si>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</si>
  <si>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</si>
  <si>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</si>
  <si>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</si>
  <si>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</si>
  <si>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</si>
  <si>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</si>
  <si>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</si>
  <si>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</si>
  <si>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</si>
  <si>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</si>
  <si>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</si>
  <si>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</si>
  <si>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</si>
  <si>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</si>
  <si>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</si>
  <si>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</si>
  <si>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</si>
  <si>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</si>
  <si>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</si>
  <si>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</si>
  <si>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</si>
  <si>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</si>
  <si>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</si>
  <si>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</si>
  <si>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</si>
  <si>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</si>
  <si>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</si>
  <si>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</si>
  <si>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</si>
  <si>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</si>
  <si>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</si>
  <si>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</si>
  <si>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</si>
  <si>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</si>
  <si>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</si>
  <si>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</si>
  <si>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</si>
  <si>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</si>
  <si>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</si>
  <si>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</si>
  <si>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</si>
  <si>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</si>
  <si>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</si>
  <si>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</si>
  <si>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</si>
  <si>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</si>
  <si>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</si>
  <si>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</si>
  <si>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</si>
  <si>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</si>
  <si>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</si>
  <si>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</si>
  <si>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</si>
  <si>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</si>
  <si>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</si>
  <si>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</si>
  <si>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</si>
  <si>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</si>
  <si>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</si>
  <si>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</si>
  <si>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</si>
  <si>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</si>
  <si>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</si>
  <si>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</si>
  <si>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</si>
  <si>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</si>
  <si>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</si>
  <si>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</si>
  <si>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</si>
  <si>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</si>
  <si>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</si>
  <si>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</si>
  <si>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</si>
  <si>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</si>
  <si>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</si>
  <si>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</si>
  <si>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</si>
  <si>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</si>
  <si>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</si>
  <si>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</si>
  <si>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</si>
  <si>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</si>
  <si>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</si>
  <si>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</si>
  <si>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</si>
  <si>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</si>
  <si>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</si>
  <si>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</si>
  <si>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</si>
  <si>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</si>
  <si>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</si>
  <si>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</si>
  <si>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</si>
  <si>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</si>
  <si>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</si>
  <si>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</si>
  <si>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</si>
  <si>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</si>
  <si>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</si>
  <si>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</si>
  <si>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</si>
  <si>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</si>
  <si>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</si>
  <si>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</si>
  <si>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</si>
  <si>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</si>
  <si>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</si>
  <si>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</si>
  <si>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</si>
  <si>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</si>
  <si>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</si>
  <si>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</si>
  <si>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</si>
  <si>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</si>
  <si>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</si>
  <si>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</si>
  <si>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</si>
  <si>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</si>
  <si>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</si>
  <si>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</si>
  <si>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</si>
  <si>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</si>
  <si>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</si>
  <si>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</si>
  <si>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</si>
  <si>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</si>
  <si>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</si>
  <si>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</si>
  <si>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</si>
  <si>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</si>
  <si>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</si>
  <si>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</si>
  <si>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</si>
  <si>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</si>
  <si>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</si>
  <si>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</si>
  <si>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</si>
  <si>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</si>
  <si>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</si>
  <si>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</si>
  <si>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</si>
  <si>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</si>
  <si>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</si>
  <si>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</si>
  <si>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</si>
  <si>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</si>
  <si>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</si>
  <si>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</si>
  <si>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</si>
  <si>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</si>
  <si>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</si>
  <si>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</si>
  <si>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</si>
  <si>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</si>
  <si>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</si>
  <si>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</si>
  <si>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</si>
  <si>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</si>
  <si>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</si>
  <si>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</si>
  <si>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</si>
  <si>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</si>
  <si>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</si>
  <si>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</si>
  <si>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</si>
  <si>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</si>
  <si>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</si>
  <si>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</si>
  <si>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</si>
  <si>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</si>
  <si>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</si>
  <si>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</si>
  <si>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</si>
  <si>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</si>
  <si>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</si>
  <si>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</si>
  <si>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</si>
  <si>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</si>
  <si>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</si>
  <si>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</si>
  <si>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</si>
  <si>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</si>
  <si>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</si>
  <si>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</si>
  <si>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</si>
  <si>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</si>
  <si>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</si>
  <si>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</si>
  <si>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</si>
  <si>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</si>
  <si>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</si>
  <si>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</si>
  <si>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</si>
  <si>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</si>
  <si>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</si>
  <si>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</si>
  <si>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</si>
  <si>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</si>
  <si>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</si>
  <si>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</si>
  <si>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</si>
  <si>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</si>
  <si>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</si>
  <si>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</si>
  <si>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</si>
  <si>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</si>
  <si>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</si>
  <si>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</si>
  <si>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</si>
  <si>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</si>
  <si>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</si>
  <si>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</si>
  <si>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</si>
  <si>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</si>
  <si>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</si>
  <si>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</si>
  <si>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</si>
  <si>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</si>
  <si>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</si>
  <si>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</si>
  <si>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</si>
  <si>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</si>
  <si>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</si>
  <si>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</si>
  <si>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</si>
  <si>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</si>
  <si>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</si>
  <si>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</si>
  <si>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</si>
  <si>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</si>
  <si>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</si>
  <si>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</si>
  <si>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</si>
  <si>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</si>
  <si>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</si>
  <si>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</si>
  <si>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</si>
  <si>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</si>
  <si>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</si>
  <si>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</si>
  <si>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</si>
  <si>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</si>
  <si>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</si>
  <si>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</si>
  <si>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</si>
  <si>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</si>
  <si>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</si>
  <si>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</si>
  <si>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</si>
  <si>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</si>
  <si>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</si>
  <si>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</si>
  <si>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</si>
  <si>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</si>
  <si>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</si>
  <si>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</si>
  <si>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</si>
  <si>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</si>
  <si>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</si>
  <si>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</si>
  <si>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</si>
  <si>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</si>
  <si>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</si>
  <si>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</si>
  <si>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</si>
  <si>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</si>
  <si>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</si>
  <si>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</si>
  <si>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</si>
  <si>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</si>
  <si>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</si>
  <si>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</si>
  <si>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</si>
  <si>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</si>
  <si>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</si>
  <si>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</si>
  <si>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</si>
  <si>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</si>
  <si>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</si>
  <si>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</si>
  <si>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</si>
  <si>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</si>
  <si>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</si>
  <si>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</si>
  <si>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</si>
  <si>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</si>
  <si>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</si>
  <si>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</si>
  <si>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</si>
  <si>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</si>
  <si>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</si>
  <si>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</si>
  <si>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</si>
  <si>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</si>
  <si>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</si>
  <si>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</si>
  <si>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</si>
  <si>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</si>
  <si>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</si>
  <si>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</si>
  <si>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</si>
  <si>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</si>
  <si>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</si>
  <si>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</si>
  <si>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</si>
  <si>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</si>
  <si>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</si>
  <si>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</si>
  <si>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</si>
  <si>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</si>
  <si>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</si>
  <si>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</si>
  <si>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</si>
  <si>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</si>
  <si>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</si>
  <si>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</si>
  <si>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</si>
  <si>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</si>
  <si>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</si>
  <si>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</si>
  <si>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</si>
  <si>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</si>
  <si>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</si>
  <si>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</si>
  <si>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</si>
  <si>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</si>
  <si>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</si>
  <si>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</si>
  <si>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</si>
  <si>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</si>
  <si>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</si>
  <si>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</si>
  <si>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</si>
  <si>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</si>
  <si>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</si>
  <si>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</si>
  <si>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</si>
  <si>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</si>
  <si>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</si>
  <si>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</si>
  <si>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</si>
  <si>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</si>
  <si>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</si>
  <si>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</si>
  <si>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</si>
  <si>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</si>
  <si>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</si>
  <si>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</si>
  <si>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</si>
  <si>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</si>
  <si>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</si>
  <si>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</si>
  <si>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</si>
  <si>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</si>
  <si>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</si>
  <si>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</si>
  <si>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</si>
  <si>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</si>
  <si>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</si>
  <si>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</si>
  <si>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</si>
  <si>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</si>
  <si>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</si>
  <si>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</si>
  <si>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</si>
  <si>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</si>
  <si>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</si>
  <si>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</si>
  <si>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</si>
  <si>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</si>
  <si>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</si>
  <si>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</si>
  <si>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</si>
  <si>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</si>
  <si>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</si>
  <si>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</si>
  <si>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</si>
  <si>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</si>
  <si>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</si>
  <si>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</si>
  <si>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</si>
  <si>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</si>
  <si>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</si>
  <si>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</si>
  <si>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</si>
  <si>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</si>
  <si>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</si>
  <si>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</si>
  <si>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</si>
  <si>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</si>
  <si>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</si>
  <si>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</si>
  <si>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</si>
  <si>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</si>
  <si>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</si>
  <si>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</si>
  <si>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</si>
  <si>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</si>
  <si>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</si>
  <si>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</si>
  <si>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</si>
  <si>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</si>
  <si>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</si>
  <si>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</si>
  <si>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</si>
  <si>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</si>
  <si>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</si>
  <si>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</si>
  <si>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</si>
  <si>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</si>
  <si>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</si>
  <si>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</si>
  <si>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</si>
  <si>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</si>
  <si>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</si>
  <si>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</si>
  <si>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</si>
  <si>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</si>
  <si>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</si>
  <si>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</si>
  <si>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</si>
  <si>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</si>
  <si>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</si>
  <si>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</si>
  <si>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</si>
  <si>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</si>
  <si>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</si>
  <si>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</si>
  <si>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</si>
  <si>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</si>
  <si>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</si>
  <si>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</si>
  <si>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</si>
  <si>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</si>
  <si>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</si>
  <si>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</si>
  <si>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</si>
  <si>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</si>
  <si>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</si>
  <si>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</si>
  <si>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</si>
  <si>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</si>
  <si>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</si>
  <si>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</si>
  <si>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</si>
  <si>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</si>
  <si>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</si>
  <si>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</si>
  <si>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</si>
  <si>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</si>
  <si>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</si>
  <si>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</si>
  <si>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</si>
  <si>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</si>
  <si>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</si>
  <si>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</si>
  <si>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</si>
  <si>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</si>
  <si>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</si>
  <si>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</si>
  <si>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</si>
  <si>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</si>
  <si>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</si>
  <si>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</si>
  <si>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</si>
  <si>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</si>
  <si>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</si>
  <si>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</si>
  <si>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</si>
  <si>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</si>
  <si>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</si>
  <si>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</si>
  <si>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</si>
  <si>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</si>
  <si>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</si>
  <si>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</si>
  <si>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</si>
  <si>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</si>
  <si>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</si>
  <si>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</si>
  <si>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</si>
  <si>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</si>
  <si>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</si>
  <si>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</si>
  <si>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</si>
  <si>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</si>
  <si>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</si>
  <si>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</si>
  <si>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</si>
  <si>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</si>
  <si>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</si>
  <si>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</si>
  <si>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</si>
  <si>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</si>
  <si>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</si>
  <si>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</si>
  <si>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</si>
  <si>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</si>
  <si>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</si>
  <si>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</si>
  <si>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</si>
  <si>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</si>
  <si>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</si>
  <si>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</si>
  <si>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</si>
  <si>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</si>
  <si>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</si>
  <si>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</si>
  <si>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</si>
  <si>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</si>
  <si>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</si>
  <si>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</si>
  <si>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</si>
  <si>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</si>
  <si>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</si>
  <si>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</si>
  <si>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</si>
  <si>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</si>
  <si>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</si>
  <si>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</si>
  <si>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</si>
  <si>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</si>
  <si>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</si>
  <si>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</si>
  <si>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</si>
  <si>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</si>
  <si>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</si>
  <si>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</si>
  <si>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</si>
  <si>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</si>
  <si>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</si>
  <si>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</si>
  <si>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</si>
  <si>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</si>
  <si>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</si>
  <si>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</si>
  <si>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</si>
  <si>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</si>
  <si>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</si>
  <si>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</si>
  <si>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</si>
  <si>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</si>
  <si>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</si>
  <si>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</si>
  <si>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</si>
  <si>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</si>
  <si>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</si>
  <si>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</si>
  <si>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</si>
  <si>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</si>
  <si>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</si>
  <si>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</si>
  <si>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</si>
  <si>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</si>
  <si>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</si>
  <si>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</si>
  <si>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</si>
  <si>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</si>
  <si>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</si>
  <si>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</si>
  <si>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</si>
  <si>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</si>
  <si>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</si>
  <si>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</si>
  <si>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</si>
  <si>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</si>
  <si>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</si>
  <si>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</si>
  <si>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</si>
  <si>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</si>
  <si>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</si>
  <si>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</si>
  <si>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</si>
  <si>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</si>
  <si>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</si>
  <si>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</si>
  <si>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</si>
  <si>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</si>
  <si>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</si>
  <si>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</si>
  <si>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</si>
  <si>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</si>
  <si>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</si>
  <si>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</si>
  <si>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</si>
  <si>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</si>
  <si>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</si>
  <si>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</si>
  <si>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</si>
  <si>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</si>
  <si>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</si>
  <si>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</si>
  <si>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</si>
  <si>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</si>
  <si>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</si>
  <si>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</si>
  <si>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</si>
  <si>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</si>
  <si>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</si>
  <si>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</si>
  <si>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</si>
  <si>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</si>
  <si>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</si>
  <si>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</si>
  <si>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</si>
  <si>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</si>
  <si>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</si>
  <si>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</si>
  <si>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</si>
  <si>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</si>
  <si>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</si>
  <si>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</si>
  <si>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</si>
  <si>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</si>
  <si>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</si>
  <si>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</si>
  <si>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</si>
  <si>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</si>
  <si>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</si>
  <si>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</si>
  <si>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</si>
  <si>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</si>
  <si>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</si>
  <si>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</si>
  <si>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</si>
  <si>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</si>
  <si>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</si>
  <si>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</si>
  <si>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</si>
  <si>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</si>
  <si>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</si>
  <si>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</si>
  <si>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</si>
  <si>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</si>
  <si>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</si>
  <si>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</si>
  <si>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</si>
  <si>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</si>
  <si>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</si>
  <si>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</si>
  <si>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</si>
  <si>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</si>
  <si>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</si>
  <si>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</si>
  <si>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</si>
  <si>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</si>
  <si>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</si>
  <si>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</si>
  <si>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</si>
  <si>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</si>
  <si>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</si>
  <si>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</si>
  <si>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</si>
  <si>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</si>
  <si>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</si>
  <si>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</si>
  <si>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</si>
  <si>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</si>
  <si>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</si>
  <si>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</si>
  <si>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</si>
  <si>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</si>
  <si>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</si>
  <si>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</si>
  <si>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</si>
  <si>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</si>
  <si>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</si>
  <si>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</si>
  <si>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</si>
  <si>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</si>
  <si>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</si>
  <si>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</si>
  <si>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</si>
  <si>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</si>
  <si>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</si>
  <si>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</si>
  <si>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</si>
  <si>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</si>
  <si>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</si>
  <si>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</si>
  <si>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</si>
  <si>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</si>
  <si>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</si>
  <si>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</si>
  <si>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</si>
  <si>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</si>
  <si>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</si>
  <si>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</si>
  <si>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</si>
  <si>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</si>
  <si>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</si>
  <si>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</si>
  <si>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</si>
  <si>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</si>
  <si>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</si>
  <si>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</si>
  <si>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</si>
  <si>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</si>
  <si>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</si>
  <si>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</si>
  <si>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</si>
  <si>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</si>
  <si>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</si>
  <si>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</si>
  <si>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</si>
  <si>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</si>
  <si>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</si>
  <si>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</si>
  <si>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</si>
  <si>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</si>
  <si>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</si>
  <si>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</si>
  <si>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</si>
  <si>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</si>
  <si>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</si>
  <si>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</si>
  <si>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</si>
  <si>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</si>
  <si>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</si>
  <si>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</si>
  <si>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</si>
  <si>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</si>
  <si>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</si>
  <si>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</si>
  <si>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</si>
  <si>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</si>
  <si>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</si>
  <si>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</si>
  <si>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</si>
  <si>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</si>
  <si>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</si>
  <si>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</si>
  <si>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</si>
  <si>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</si>
  <si>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</si>
  <si>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</si>
  <si>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</si>
  <si>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</si>
  <si>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</si>
  <si>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</si>
  <si>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</si>
  <si>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</si>
  <si>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</si>
  <si>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</si>
  <si>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</si>
  <si>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</si>
  <si>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</si>
  <si>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</si>
  <si>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</si>
  <si>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</si>
  <si>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</si>
  <si>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</si>
  <si>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</si>
  <si>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</si>
  <si>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</si>
  <si>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</si>
  <si>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</si>
  <si>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</si>
  <si>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</si>
  <si>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</si>
  <si>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</si>
  <si>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</si>
  <si>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</si>
  <si>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</si>
  <si>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</si>
  <si>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</si>
  <si>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</si>
  <si>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</si>
  <si>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</si>
  <si>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</si>
  <si>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</si>
  <si>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</si>
  <si>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</si>
  <si>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</si>
  <si>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</si>
  <si>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</si>
  <si>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</si>
  <si>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</si>
  <si>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</si>
  <si>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</si>
  <si>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</si>
  <si>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</si>
  <si>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</si>
  <si>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</si>
  <si>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</si>
  <si>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</si>
  <si>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</si>
  <si>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</si>
  <si>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</si>
  <si>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</si>
  <si>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</si>
  <si>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</si>
  <si>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</si>
  <si>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</si>
  <si>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</si>
  <si>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</si>
  <si>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</si>
  <si>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</si>
  <si>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</si>
  <si>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</si>
  <si>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</si>
  <si>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</si>
  <si>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</si>
  <si>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</si>
  <si>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</si>
  <si>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</si>
  <si>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</si>
  <si>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</si>
  <si>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</si>
  <si>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</si>
  <si>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</si>
  <si>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</si>
  <si>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</si>
  <si>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</si>
  <si>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</si>
  <si>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</si>
  <si>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</si>
  <si>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</si>
  <si>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</si>
  <si>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</si>
  <si>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</si>
  <si>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</si>
  <si>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</si>
  <si>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</si>
  <si>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</si>
  <si>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</si>
  <si>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</si>
  <si>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</si>
  <si>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</si>
  <si>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</si>
  <si>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</si>
  <si>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</si>
  <si>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</si>
  <si>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</si>
  <si>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</si>
  <si>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</si>
  <si>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</si>
  <si>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</si>
  <si>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</si>
  <si>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</si>
  <si>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</si>
  <si>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</si>
  <si>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</si>
  <si>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</si>
  <si>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</si>
  <si>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</si>
  <si>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</si>
  <si>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</si>
  <si>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</si>
  <si>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</si>
  <si>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</si>
  <si>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</si>
  <si>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</si>
  <si>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</si>
  <si>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</si>
  <si>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</si>
  <si>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</si>
  <si>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</si>
  <si>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</si>
  <si>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</si>
  <si>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</si>
  <si>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</si>
  <si>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</si>
  <si>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</si>
  <si>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</si>
  <si>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</si>
  <si>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</si>
  <si>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</si>
  <si>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</si>
  <si>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</si>
  <si>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</si>
  <si>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</si>
  <si>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</si>
  <si>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</si>
  <si>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</si>
  <si>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</si>
  <si>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</si>
  <si>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</si>
  <si>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</si>
  <si>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</si>
  <si>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</si>
  <si>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</si>
  <si>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</si>
  <si>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</si>
  <si>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</si>
  <si>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</si>
  <si>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</si>
  <si>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</si>
  <si>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</si>
  <si>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</si>
  <si>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</si>
  <si>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</si>
  <si>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</si>
  <si>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</si>
  <si>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</si>
  <si>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</si>
  <si>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</si>
  <si>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</si>
  <si>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</si>
  <si>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</si>
  <si>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</si>
  <si>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</si>
  <si>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</si>
  <si>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</si>
  <si>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</si>
  <si>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</si>
  <si>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</si>
  <si>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</si>
  <si>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</si>
  <si>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</si>
  <si>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</si>
  <si>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</si>
  <si>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</si>
  <si>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</si>
  <si>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</si>
  <si>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</si>
  <si>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</si>
  <si>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</si>
  <si>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</si>
  <si>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</si>
  <si>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</si>
  <si>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</si>
  <si>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</si>
  <si>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</si>
  <si>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</si>
  <si>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</si>
  <si>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</si>
  <si>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</si>
  <si>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</si>
  <si>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</si>
  <si>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</si>
  <si>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</si>
  <si>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</si>
  <si>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</si>
  <si>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</si>
  <si>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</si>
  <si>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</si>
  <si>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</si>
  <si>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</si>
  <si>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</si>
  <si>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</si>
  <si>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</si>
  <si>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</si>
  <si>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</si>
  <si>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</si>
  <si>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</si>
  <si>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</si>
  <si>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</si>
  <si>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</si>
  <si>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</si>
  <si>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</si>
  <si>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</si>
  <si>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</si>
  <si>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</si>
  <si>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</si>
  <si>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</si>
  <si>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</si>
  <si>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</si>
  <si>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</si>
  <si>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</si>
  <si>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</si>
  <si>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</si>
  <si>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</si>
  <si>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</si>
  <si>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</si>
  <si>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</si>
  <si>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</si>
  <si>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</si>
  <si>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</si>
  <si>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</si>
  <si>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</si>
  <si>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</si>
  <si>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</si>
  <si>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</si>
  <si>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</si>
  <si>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</si>
  <si>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</si>
  <si>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</si>
  <si>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</si>
  <si>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</si>
  <si>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</si>
  <si>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</si>
  <si>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</si>
  <si>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</si>
  <si>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</si>
  <si>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</si>
  <si>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</si>
  <si>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</si>
  <si>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</si>
  <si>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</si>
  <si>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</si>
  <si>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</si>
  <si>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</si>
  <si>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</si>
  <si>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</si>
  <si>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</si>
  <si>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</si>
  <si>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</si>
  <si>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</si>
  <si>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</si>
  <si>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</si>
  <si>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</si>
  <si>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</si>
  <si>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</si>
  <si>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</si>
  <si>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</si>
  <si>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</si>
  <si>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</si>
  <si>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</si>
  <si>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</si>
  <si>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</si>
  <si>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</si>
  <si>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</si>
  <si>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</si>
  <si>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</si>
  <si>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</si>
  <si>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</si>
  <si>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</si>
  <si>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</si>
  <si>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</si>
  <si>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</si>
  <si>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</si>
  <si>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</si>
  <si>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</si>
  <si>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</si>
  <si>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</si>
  <si>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</si>
  <si>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</si>
  <si>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</si>
  <si>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</si>
  <si>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</si>
  <si>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</si>
  <si>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</si>
  <si>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</si>
  <si>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</si>
  <si>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</si>
  <si>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</si>
  <si>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</si>
  <si>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</si>
  <si>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</si>
  <si>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</si>
  <si>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</si>
  <si>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</si>
  <si>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</si>
  <si>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</si>
  <si>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</si>
  <si>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</si>
  <si>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</si>
  <si>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</si>
  <si>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</si>
  <si>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</si>
  <si>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</si>
  <si>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</si>
  <si>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</si>
  <si>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</si>
  <si>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</si>
  <si>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</si>
  <si>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</si>
  <si>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</si>
  <si>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</si>
  <si>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</si>
  <si>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</si>
  <si>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</si>
  <si>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</si>
  <si>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</si>
  <si>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</si>
  <si>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</si>
  <si>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</si>
  <si>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</si>
  <si>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</si>
  <si>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</si>
  <si>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</si>
  <si>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</si>
  <si>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</si>
  <si>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</si>
  <si>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</si>
  <si>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</si>
  <si>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</si>
  <si>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</si>
  <si>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</si>
  <si>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</si>
  <si>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</si>
  <si>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</si>
  <si>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</si>
  <si>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</si>
  <si>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</si>
  <si>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</si>
  <si>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</si>
  <si>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</si>
  <si>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</si>
  <si>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</si>
  <si>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</si>
  <si>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</si>
  <si>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</si>
  <si>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</si>
  <si>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</si>
  <si>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</si>
  <si>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</si>
  <si>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</si>
  <si>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</si>
  <si>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</si>
  <si>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</si>
  <si>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</si>
  <si>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</si>
  <si>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</si>
  <si>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</si>
  <si>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</si>
  <si>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</si>
  <si>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</si>
  <si>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</si>
  <si>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</si>
  <si>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</si>
  <si>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</si>
  <si>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</si>
  <si>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</si>
  <si>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</si>
  <si>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</si>
  <si>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</si>
  <si>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</si>
  <si>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</si>
  <si>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</si>
  <si>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</si>
  <si>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</si>
  <si>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</si>
  <si>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</si>
  <si>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</si>
  <si>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</si>
  <si>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</si>
  <si>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</si>
  <si>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</si>
  <si>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</si>
  <si>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</si>
  <si>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</si>
  <si>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</si>
  <si>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</si>
  <si>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</si>
  <si>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</si>
  <si>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</si>
  <si>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</si>
  <si>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</si>
  <si>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</si>
  <si>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</si>
  <si>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</si>
  <si>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</si>
  <si>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</si>
  <si>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</si>
  <si>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</si>
  <si>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</si>
  <si>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</si>
  <si>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</si>
  <si>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</si>
  <si>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</si>
  <si>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</si>
  <si>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</si>
  <si>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</si>
  <si>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</si>
  <si>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</si>
  <si>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</si>
  <si>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</si>
  <si>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</si>
  <si>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</si>
  <si>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</si>
  <si>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</si>
  <si>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</si>
  <si>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</si>
  <si>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</si>
  <si>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</si>
  <si>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</si>
  <si>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</si>
  <si>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</si>
  <si>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</si>
  <si>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</si>
  <si>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</si>
  <si>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</si>
  <si>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</si>
  <si>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</si>
  <si>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</si>
  <si>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</si>
  <si>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</si>
  <si>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</si>
  <si>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</si>
  <si>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</si>
  <si>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</si>
  <si>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</si>
  <si>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</si>
  <si>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</si>
  <si>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</si>
  <si>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</si>
  <si>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</si>
  <si>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</si>
  <si>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</si>
  <si>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</si>
  <si>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</si>
  <si>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</si>
  <si>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</si>
  <si>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</si>
  <si>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</si>
  <si>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</si>
  <si>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</si>
  <si>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</si>
  <si>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</si>
  <si>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</si>
  <si>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</si>
  <si>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</si>
  <si>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</si>
  <si>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</si>
  <si>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</si>
  <si>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</si>
  <si>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</si>
  <si>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</si>
  <si>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</si>
  <si>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</si>
  <si>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</si>
  <si>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</si>
  <si>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</si>
  <si>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</si>
  <si>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</si>
  <si>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</si>
  <si>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</si>
  <si>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</si>
  <si>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</si>
  <si>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</si>
  <si>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</si>
  <si>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</si>
  <si>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</si>
  <si>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</si>
  <si>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</si>
  <si>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</si>
  <si>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</si>
  <si>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</si>
  <si>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</si>
  <si>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</si>
  <si>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</si>
  <si>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</si>
  <si>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</si>
  <si>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</si>
  <si>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</si>
  <si>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</si>
  <si>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</si>
  <si>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</si>
  <si>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</si>
  <si>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</si>
  <si>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</si>
  <si>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</si>
  <si>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</si>
  <si>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</si>
  <si>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</si>
  <si>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</si>
  <si>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</si>
  <si>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</si>
  <si>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</si>
  <si>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</si>
  <si>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</si>
  <si>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</si>
  <si>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</si>
  <si>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</si>
  <si>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</si>
  <si>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</si>
  <si>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</si>
  <si>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</si>
  <si>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</si>
  <si>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</si>
  <si>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</si>
  <si>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</si>
  <si>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</si>
  <si>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</si>
  <si>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</si>
  <si>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</si>
  <si>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</si>
  <si>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</si>
  <si>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</si>
  <si>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</si>
  <si>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</si>
  <si>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</si>
  <si>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</si>
  <si>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</si>
  <si>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</si>
  <si>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</si>
  <si>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</si>
  <si>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</si>
  <si>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</si>
  <si>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</si>
  <si>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</si>
  <si>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</si>
  <si>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</si>
  <si>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</si>
  <si>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</si>
  <si>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</si>
  <si>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</si>
  <si>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</si>
  <si>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</si>
  <si>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</si>
  <si>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</si>
  <si>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</si>
  <si>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</si>
  <si>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</si>
  <si>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</si>
  <si>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</si>
  <si>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</si>
  <si>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</si>
  <si>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</si>
  <si>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</si>
  <si>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</si>
  <si>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</si>
  <si>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</si>
  <si>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</si>
  <si>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</si>
  <si>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</si>
  <si>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</si>
  <si>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</si>
  <si>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</si>
  <si>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</si>
  <si>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</si>
  <si>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</si>
  <si>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</si>
  <si>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</si>
  <si>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</si>
  <si>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</si>
  <si>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</si>
  <si>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</si>
  <si>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</si>
  <si>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</si>
  <si>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</si>
  <si>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</si>
  <si>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</si>
  <si>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</si>
  <si>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</si>
  <si>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</si>
  <si>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</si>
  <si>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</si>
  <si>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</si>
  <si>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</si>
  <si>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</si>
  <si>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</si>
  <si>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</si>
  <si>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</si>
  <si>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</si>
  <si>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</si>
  <si>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</si>
  <si>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</si>
  <si>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</si>
  <si>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</si>
  <si>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</si>
  <si>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</si>
  <si>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</si>
  <si>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</si>
  <si>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</si>
  <si>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</si>
  <si>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</si>
  <si>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</si>
  <si>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</si>
  <si>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</si>
  <si>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</si>
  <si>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</si>
  <si>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</si>
  <si>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</si>
  <si>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</si>
  <si>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</si>
  <si>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</si>
  <si>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</si>
  <si>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</si>
  <si>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</si>
  <si>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</si>
  <si>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</si>
  <si>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</si>
  <si>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</si>
  <si>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</si>
  <si>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</si>
  <si>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</si>
  <si>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</si>
  <si>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</si>
  <si>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</si>
  <si>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</si>
  <si>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</si>
  <si>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</si>
  <si>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</si>
  <si>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</si>
  <si>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</si>
  <si>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</si>
  <si>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</si>
  <si>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</si>
  <si>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</si>
  <si>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</si>
  <si>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</si>
  <si>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</si>
  <si>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</si>
  <si>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</si>
  <si>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</si>
  <si>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</si>
  <si>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</si>
  <si>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</si>
  <si>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</si>
  <si>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</si>
  <si>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</si>
  <si>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</si>
  <si>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</si>
  <si>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</si>
  <si>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</si>
  <si>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</si>
  <si>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</si>
  <si>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</si>
  <si>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</si>
  <si>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</si>
  <si>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</si>
  <si>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</si>
  <si>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</si>
  <si>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</si>
  <si>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</si>
  <si>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</si>
  <si>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</si>
  <si>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</si>
  <si>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</si>
  <si>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</si>
  <si>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</si>
  <si>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</si>
  <si>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</si>
  <si>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</si>
  <si>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</si>
  <si>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</si>
  <si>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</si>
  <si>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</si>
  <si>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</si>
  <si>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</si>
  <si>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</si>
  <si>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</si>
  <si>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</si>
  <si>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</si>
  <si>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</si>
  <si>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</si>
  <si>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</si>
  <si>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</si>
  <si>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</si>
  <si>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</si>
  <si>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</si>
  <si>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</si>
  <si>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</si>
  <si>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</si>
  <si>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</si>
  <si>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</si>
  <si>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</si>
  <si>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</si>
  <si>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</si>
  <si>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</si>
  <si>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</si>
  <si>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</si>
  <si>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</si>
  <si>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</si>
  <si>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</si>
  <si>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</si>
  <si>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</si>
  <si>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</si>
  <si>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</si>
  <si>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</si>
  <si>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</si>
  <si>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</si>
  <si>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</si>
  <si>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</si>
  <si>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</si>
  <si>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</si>
  <si>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</si>
  <si>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</si>
  <si>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</si>
  <si>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</si>
  <si>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</si>
  <si>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</si>
  <si>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</si>
  <si>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</si>
  <si>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</si>
  <si>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</si>
  <si>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</si>
  <si>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</si>
  <si>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</si>
  <si>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</si>
  <si>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</si>
  <si>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</si>
  <si>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</si>
  <si>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</si>
  <si>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</si>
  <si>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</si>
  <si>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</si>
  <si>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</si>
  <si>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</si>
  <si>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</si>
  <si>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</si>
  <si>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</si>
  <si>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</si>
  <si>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</si>
  <si>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</si>
  <si>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</si>
  <si>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</si>
  <si>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</si>
  <si>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</si>
  <si>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</si>
  <si>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</si>
  <si>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</si>
  <si>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</si>
  <si>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</si>
  <si>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</si>
  <si>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</si>
  <si>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</si>
  <si>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</si>
  <si>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</si>
  <si>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</si>
  <si>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</si>
  <si>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</si>
  <si>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</si>
  <si>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</si>
  <si>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</si>
  <si>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</si>
  <si>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</si>
  <si>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</si>
  <si>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</si>
  <si>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</si>
  <si>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</si>
  <si>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</si>
  <si>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</si>
  <si>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</si>
  <si>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</si>
  <si>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</si>
  <si>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</si>
  <si>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</si>
  <si>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</si>
  <si>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</si>
  <si>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</si>
  <si>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</si>
  <si>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</si>
  <si>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</si>
  <si>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</si>
  <si>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</si>
  <si>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</si>
  <si>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</si>
  <si>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</si>
  <si>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</si>
  <si>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</si>
  <si>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</si>
  <si>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</si>
  <si>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</si>
  <si>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</si>
  <si>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</si>
  <si>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</si>
  <si>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</si>
  <si>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</si>
  <si>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</si>
  <si>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</si>
  <si>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</si>
  <si>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</si>
  <si>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</si>
  <si>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</si>
  <si>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</si>
  <si>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</si>
  <si>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</si>
  <si>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</si>
  <si>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</si>
  <si>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</si>
  <si>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</si>
  <si>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</si>
  <si>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</si>
  <si>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</si>
  <si>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</si>
  <si>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</si>
  <si>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</si>
  <si>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</si>
  <si>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</si>
  <si>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</si>
  <si>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</si>
  <si>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</si>
  <si>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</si>
  <si>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</si>
  <si>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</si>
  <si>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</si>
  <si>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</si>
  <si>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</si>
  <si>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</si>
  <si>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</si>
  <si>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</si>
  <si>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</si>
  <si>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</si>
  <si>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</si>
  <si>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</si>
  <si>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</si>
  <si>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</si>
  <si>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</si>
  <si>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</si>
  <si>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</si>
  <si>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</si>
  <si>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</si>
  <si>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</si>
  <si>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</si>
  <si>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</si>
  <si>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</si>
  <si>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</si>
  <si>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</si>
  <si>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</si>
  <si>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</si>
  <si>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</si>
  <si>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</si>
  <si>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</si>
  <si>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</si>
  <si>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</si>
  <si>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</si>
  <si>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</si>
  <si>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</si>
  <si>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</si>
  <si>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</si>
  <si>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</si>
  <si>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</si>
  <si>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</si>
  <si>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</si>
  <si>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</si>
  <si>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</si>
  <si>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</si>
  <si>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</si>
  <si>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</si>
  <si>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</si>
  <si>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</si>
  <si>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</si>
  <si>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</si>
  <si>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</si>
  <si>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</si>
  <si>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</si>
  <si>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</si>
  <si>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</si>
  <si>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</si>
  <si>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</si>
  <si>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Days to Deliver</t>
  </si>
  <si>
    <t>Row Labels</t>
  </si>
  <si>
    <t>Grand Total</t>
  </si>
  <si>
    <t>Average of Rating C</t>
  </si>
  <si>
    <t>Values for Display</t>
  </si>
  <si>
    <t>Qty</t>
  </si>
  <si>
    <t>avg.Rating</t>
  </si>
  <si>
    <t>Avg.days</t>
  </si>
  <si>
    <t>Column Labels</t>
  </si>
  <si>
    <t>Female</t>
  </si>
  <si>
    <t>Male</t>
  </si>
  <si>
    <t>Other</t>
  </si>
  <si>
    <t>Unknown</t>
  </si>
  <si>
    <t>for matrix</t>
  </si>
  <si>
    <t>order aty analysis</t>
  </si>
  <si>
    <t>6 to 10</t>
  </si>
  <si>
    <t>More than 10</t>
  </si>
  <si>
    <t>California Total</t>
  </si>
  <si>
    <t>map chart for qty</t>
  </si>
  <si>
    <t>map chart for amt</t>
  </si>
  <si>
    <t>Jan</t>
  </si>
  <si>
    <t>Feb</t>
  </si>
  <si>
    <t>Mar</t>
  </si>
  <si>
    <t>Count of Days (Ship Date)</t>
  </si>
  <si>
    <t>shipment duration</t>
  </si>
  <si>
    <t>customer satification</t>
  </si>
  <si>
    <t>Months (Order Date)</t>
  </si>
  <si>
    <t>summary</t>
  </si>
  <si>
    <t>aty amt</t>
  </si>
  <si>
    <t>qty and gender</t>
  </si>
  <si>
    <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</si>
</sst>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9">
    <border>
      <left/>
      <right/>
      <top/>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top/>
      <bottom/>
      <diagonal/>
    </border>
    <border>
      <left/>
      <right style="thick">
        <color theme="0"/>
      </right>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s>
  <cellStyleXfs count="1">
    <xf numFmtId="0" fontId="0" fillId="0" borderId="0"/>
  </cellStyleXfs>
  <cellXfs count="18">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0" borderId="1" xfId="0" applyBorder="1"/>
    <xf numFmtId="164" fontId="0" fillId="0" borderId="2" xfId="0" applyNumberFormat="1" applyBorder="1"/>
    <xf numFmtId="164" fontId="0" fillId="0" borderId="3" xfId="0" applyNumberFormat="1" applyBorder="1"/>
    <xf numFmtId="0" fontId="0" fillId="0" borderId="4" xfId="0" applyBorder="1"/>
    <xf numFmtId="164" fontId="0" fillId="0" borderId="5" xfId="0" applyNumberFormat="1" applyBorder="1"/>
    <xf numFmtId="0" fontId="0" fillId="0" borderId="6" xfId="0" applyBorder="1"/>
    <xf numFmtId="164" fontId="0" fillId="0" borderId="7" xfId="0" applyNumberFormat="1" applyBorder="1"/>
    <xf numFmtId="164" fontId="0" fillId="0" borderId="8" xfId="0" applyNumberFormat="1" applyBorder="1"/>
    <xf numFmtId="0" fontId="0" fillId="0" borderId="0" xfId="0" pivotButton="1" applyAlignment="1">
      <alignment horizontal="left"/>
    </xf>
  </cellXfs>
  <cellStyles count="1">
    <cellStyle name="Normal" xfId="0" builtinId="0"/>
  </cellStyles>
  <dxfs count="8">
    <dxf>
      <numFmt numFmtId="0" formatCode="General"/>
    </dxf>
    <dxf>
      <numFmt numFmtId="0" formatCode="General"/>
    </dxf>
    <dxf>
      <numFmt numFmtId="0" formatCode="General"/>
    </dxf>
    <dxf>
      <numFmt numFmtId="165" formatCode="d\-mmm\-yy"/>
    </dxf>
    <dxf>
      <numFmt numFmtId="165" formatCode="d\-mmm\-yy"/>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sales.xlsx]pivots!aty amt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Trend in the last </a:t>
            </a:r>
            <a:r>
              <a:rPr lang="en-US" b="1">
                <a:solidFill>
                  <a:schemeClr val="tx1">
                    <a:lumMod val="75000"/>
                    <a:lumOff val="25000"/>
                  </a:schemeClr>
                </a:solidFill>
              </a:rPr>
              <a:t>13</a:t>
            </a:r>
            <a:r>
              <a:rPr lang="en-US" b="1"/>
              <a:t> weeks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D8D-4277-BC2F-9044D2132175}"/>
            </c:ext>
          </c:extLst>
        </c:ser>
        <c:dLbls>
          <c:showLegendKey val="0"/>
          <c:showVal val="0"/>
          <c:showCatName val="0"/>
          <c:showSerName val="0"/>
          <c:showPercent val="0"/>
          <c:showBubbleSize val="0"/>
        </c:dLbls>
        <c:marker val="1"/>
        <c:smooth val="0"/>
        <c:axId val="1958550720"/>
        <c:axId val="1958545440"/>
      </c:lineChart>
      <c:lineChart>
        <c:grouping val="standard"/>
        <c:varyColors val="0"/>
        <c:ser>
          <c:idx val="1"/>
          <c:order val="1"/>
          <c:tx>
            <c:strRef>
              <c:f>pivots!$C$10</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pivots!$C$11:$C$24</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D8D-4277-BC2F-9044D2132175}"/>
            </c:ext>
          </c:extLst>
        </c:ser>
        <c:dLbls>
          <c:showLegendKey val="0"/>
          <c:showVal val="0"/>
          <c:showCatName val="0"/>
          <c:showSerName val="0"/>
          <c:showPercent val="0"/>
          <c:showBubbleSize val="0"/>
        </c:dLbls>
        <c:marker val="1"/>
        <c:smooth val="0"/>
        <c:axId val="1958560800"/>
        <c:axId val="1958540160"/>
      </c:lineChart>
      <c:catAx>
        <c:axId val="195855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45440"/>
        <c:crosses val="autoZero"/>
        <c:auto val="1"/>
        <c:lblAlgn val="ctr"/>
        <c:lblOffset val="100"/>
        <c:noMultiLvlLbl val="0"/>
      </c:catAx>
      <c:valAx>
        <c:axId val="195854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50720"/>
        <c:crosses val="autoZero"/>
        <c:crossBetween val="between"/>
      </c:valAx>
      <c:valAx>
        <c:axId val="19585401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60800"/>
        <c:crosses val="max"/>
        <c:crossBetween val="between"/>
      </c:valAx>
      <c:catAx>
        <c:axId val="1958560800"/>
        <c:scaling>
          <c:orientation val="minMax"/>
        </c:scaling>
        <c:delete val="1"/>
        <c:axPos val="b"/>
        <c:numFmt formatCode="General" sourceLinked="1"/>
        <c:majorTickMark val="out"/>
        <c:minorTickMark val="none"/>
        <c:tickLblPos val="nextTo"/>
        <c:crossAx val="195854016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sales.xlsx]pivots!order aty analysis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How many they buy?</a:t>
            </a:r>
            <a:r>
              <a:rPr lang="en-US" sz="1400" b="1" i="0" u="none" strike="noStrike" baseline="0"/>
              <a:t> </a:t>
            </a:r>
            <a:endParaRPr lang="en-US" b="1"/>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a:glow>
              <a:schemeClr val="accent1">
                <a:alpha val="61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6293701710221"/>
          <c:y val="0.25300543732726211"/>
          <c:w val="0.77651176244112119"/>
          <c:h val="0.50007623850246963"/>
        </c:manualLayout>
      </c:layout>
      <c:barChart>
        <c:barDir val="col"/>
        <c:grouping val="clustered"/>
        <c:varyColors val="0"/>
        <c:ser>
          <c:idx val="0"/>
          <c:order val="0"/>
          <c:tx>
            <c:strRef>
              <c:f>pivots!$B$30</c:f>
              <c:strCache>
                <c:ptCount val="1"/>
                <c:pt idx="0">
                  <c:v>Total</c:v>
                </c:pt>
              </c:strCache>
            </c:strRef>
          </c:tx>
          <c:spPr>
            <a:solidFill>
              <a:schemeClr val="accent1"/>
            </a:solidFill>
            <a:ln>
              <a:solidFill>
                <a:schemeClr val="bg1"/>
              </a:solidFill>
            </a:ln>
            <a:effectLst>
              <a:glow>
                <a:schemeClr val="accent1">
                  <a:alpha val="61000"/>
                </a:schemeClr>
              </a:glo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pivots!$A$31:$A$38</c:f>
              <c:strCache>
                <c:ptCount val="7"/>
                <c:pt idx="0">
                  <c:v>1</c:v>
                </c:pt>
                <c:pt idx="1">
                  <c:v>2</c:v>
                </c:pt>
                <c:pt idx="2">
                  <c:v>3</c:v>
                </c:pt>
                <c:pt idx="3">
                  <c:v>4</c:v>
                </c:pt>
                <c:pt idx="4">
                  <c:v>5</c:v>
                </c:pt>
                <c:pt idx="5">
                  <c:v>6 to 10</c:v>
                </c:pt>
                <c:pt idx="6">
                  <c:v>More than 10</c:v>
                </c:pt>
              </c:strCache>
            </c:strRef>
          </c:cat>
          <c:val>
            <c:numRef>
              <c:f>pivots!$B$31:$B$38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30C-4FDD-869C-E2CD5D10C5DC}"/>
            </c:ext>
          </c:extLst>
        </c:ser>
        <c:dLbls>
          <c:dLblPos val="outEnd"/>
          <c:showLegendKey val="0"/>
          <c:showVal val="1"/>
          <c:showCatName val="0"/>
          <c:showSerName val="0"/>
          <c:showPercent val="0"/>
          <c:showBubbleSize val="0"/>
        </c:dLbls>
        <c:gapWidth val="0"/>
        <c:overlap val="-27"/>
        <c:axId val="1958562240"/>
        <c:axId val="1958565600"/>
      </c:barChart>
      <c:catAx>
        <c:axId val="195856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alpha val="97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65600"/>
        <c:crosses val="autoZero"/>
        <c:auto val="1"/>
        <c:lblAlgn val="ctr"/>
        <c:lblOffset val="100"/>
        <c:noMultiLvlLbl val="0"/>
      </c:catAx>
      <c:valAx>
        <c:axId val="19585656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62240"/>
        <c:crosses val="autoZero"/>
        <c:crossBetween val="between"/>
      </c:valAx>
      <c:spPr>
        <a:noFill/>
        <a:ln>
          <a:noFill/>
        </a:ln>
        <a:effectLst>
          <a:glow>
            <a:schemeClr val="accent1">
              <a:alpha val="93000"/>
            </a:schemeClr>
          </a:glow>
          <a:outerShdw dir="1200000" sx="87000" sy="87000" algn="ctr" rotWithShape="0">
            <a:srgbClr val="000000">
              <a:alpha val="34000"/>
            </a:srgbClr>
          </a:outerShdw>
          <a:softEdge rad="2032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sales.xlsx]pivots!qty and gender</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Which products popular?</a:t>
            </a:r>
            <a:r>
              <a:rPr lang="en-US" sz="1400" b="1" i="0" u="none" strike="noStrike" baseline="0"/>
              <a:t>Breakdown by gender</a:t>
            </a:r>
            <a:endParaRPr lang="en-US" b="1"/>
          </a:p>
        </c:rich>
      </c:tx>
      <c:layout>
        <c:manualLayout>
          <c:xMode val="edge"/>
          <c:yMode val="edge"/>
          <c:x val="7.2146002830535724E-2"/>
          <c:y val="1.0245872368002611E-2"/>
        </c:manualLayout>
      </c:layout>
      <c:overlay val="0"/>
      <c:spPr>
        <a:solidFill>
          <a:schemeClr val="bg1"/>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14449514926617"/>
          <c:y val="0.10679097666104936"/>
          <c:w val="0.42312600924170762"/>
          <c:h val="0.87254665203396431"/>
        </c:manualLayout>
      </c:layout>
      <c:barChart>
        <c:barDir val="bar"/>
        <c:grouping val="stacked"/>
        <c:varyColors val="0"/>
        <c:ser>
          <c:idx val="0"/>
          <c:order val="0"/>
          <c:tx>
            <c:strRef>
              <c:f>pivots!$F$10:$F$11</c:f>
              <c:strCache>
                <c:ptCount val="1"/>
                <c:pt idx="0">
                  <c:v>Female</c:v>
                </c:pt>
              </c:strCache>
            </c:strRef>
          </c:tx>
          <c:spPr>
            <a:solidFill>
              <a:schemeClr val="accent1"/>
            </a:solidFill>
            <a:ln>
              <a:noFill/>
            </a:ln>
            <a:effectLst/>
          </c:spPr>
          <c:invertIfNegative val="0"/>
          <c:cat>
            <c:strRef>
              <c:f>pivots!$E$12:$E$32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pivots!$F$12:$F$32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8C27-44D8-9F6B-66893D1ACC71}"/>
            </c:ext>
          </c:extLst>
        </c:ser>
        <c:ser>
          <c:idx val="1"/>
          <c:order val="1"/>
          <c:tx>
            <c:strRef>
              <c:f>pivots!$G$10:$G$11</c:f>
              <c:strCache>
                <c:ptCount val="1"/>
                <c:pt idx="0">
                  <c:v>Male</c:v>
                </c:pt>
              </c:strCache>
            </c:strRef>
          </c:tx>
          <c:spPr>
            <a:solidFill>
              <a:schemeClr val="accent2"/>
            </a:solidFill>
            <a:ln>
              <a:noFill/>
            </a:ln>
            <a:effectLst/>
          </c:spPr>
          <c:invertIfNegative val="0"/>
          <c:cat>
            <c:strRef>
              <c:f>pivots!$E$12:$E$32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pivots!$G$12:$G$32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E116-4A90-BE58-3EFAA0985674}"/>
            </c:ext>
          </c:extLst>
        </c:ser>
        <c:ser>
          <c:idx val="2"/>
          <c:order val="2"/>
          <c:tx>
            <c:strRef>
              <c:f>pivots!$H$10:$H$11</c:f>
              <c:strCache>
                <c:ptCount val="1"/>
                <c:pt idx="0">
                  <c:v>Other</c:v>
                </c:pt>
              </c:strCache>
            </c:strRef>
          </c:tx>
          <c:spPr>
            <a:solidFill>
              <a:schemeClr val="accent3"/>
            </a:solidFill>
            <a:ln>
              <a:noFill/>
            </a:ln>
            <a:effectLst/>
          </c:spPr>
          <c:invertIfNegative val="0"/>
          <c:cat>
            <c:strRef>
              <c:f>pivots!$E$12:$E$32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pivots!$H$12:$H$32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E116-4A90-BE58-3EFAA0985674}"/>
            </c:ext>
          </c:extLst>
        </c:ser>
        <c:ser>
          <c:idx val="3"/>
          <c:order val="3"/>
          <c:tx>
            <c:strRef>
              <c:f>pivots!$I$10:$I$11</c:f>
              <c:strCache>
                <c:ptCount val="1"/>
                <c:pt idx="0">
                  <c:v>Unknown</c:v>
                </c:pt>
              </c:strCache>
            </c:strRef>
          </c:tx>
          <c:spPr>
            <a:solidFill>
              <a:schemeClr val="accent4"/>
            </a:solidFill>
            <a:ln>
              <a:noFill/>
            </a:ln>
            <a:effectLst/>
          </c:spPr>
          <c:invertIfNegative val="0"/>
          <c:cat>
            <c:strRef>
              <c:f>pivots!$E$12:$E$32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pivots!$I$12:$I$32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E116-4A90-BE58-3EFAA0985674}"/>
            </c:ext>
          </c:extLst>
        </c:ser>
        <c:dLbls>
          <c:showLegendKey val="0"/>
          <c:showVal val="0"/>
          <c:showCatName val="0"/>
          <c:showSerName val="0"/>
          <c:showPercent val="0"/>
          <c:showBubbleSize val="0"/>
        </c:dLbls>
        <c:gapWidth val="25"/>
        <c:overlap val="100"/>
        <c:axId val="144903552"/>
        <c:axId val="144904032"/>
      </c:barChart>
      <c:catAx>
        <c:axId val="14490355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04032"/>
        <c:crosses val="autoZero"/>
        <c:auto val="1"/>
        <c:lblAlgn val="ctr"/>
        <c:lblOffset val="100"/>
        <c:noMultiLvlLbl val="0"/>
      </c:catAx>
      <c:valAx>
        <c:axId val="144904032"/>
        <c:scaling>
          <c:orientation val="minMax"/>
        </c:scaling>
        <c:delete val="1"/>
        <c:axPos val="t"/>
        <c:numFmt formatCode="General" sourceLinked="1"/>
        <c:majorTickMark val="out"/>
        <c:minorTickMark val="none"/>
        <c:tickLblPos val="nextTo"/>
        <c:crossAx val="144903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sales.xlsx]pivots!donot</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30082722448217"/>
              <c:y val="0.195753179653026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330014373867311"/>
                  <c:h val="0.34623375284149932"/>
                </c:manualLayout>
              </c15:layout>
            </c:ext>
          </c:extLst>
        </c:dLbl>
      </c:pivotFmt>
      <c:pivotFmt>
        <c:idx val="8"/>
        <c:spPr>
          <a:solidFill>
            <a:schemeClr val="accent1"/>
          </a:solidFill>
          <a:ln w="19050">
            <a:solidFill>
              <a:schemeClr val="lt1"/>
            </a:solidFill>
          </a:ln>
          <a:effectLst/>
        </c:spPr>
        <c:dLbl>
          <c:idx val="0"/>
          <c:layout>
            <c:manualLayout>
              <c:x val="-0.15725797131438496"/>
              <c:y val="0.10038605155574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062759788984335"/>
              <c:y val="-0.13552079048093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614448604020614"/>
                  <c:h val="0.34623375284149932"/>
                </c:manualLayout>
              </c15:layout>
            </c:ext>
          </c:extLst>
        </c:dLbl>
      </c:pivotFmt>
      <c:pivotFmt>
        <c:idx val="10"/>
        <c:spPr>
          <a:solidFill>
            <a:schemeClr val="accent1"/>
          </a:solidFill>
          <a:ln w="19050">
            <a:solidFill>
              <a:schemeClr val="lt1"/>
            </a:solidFill>
          </a:ln>
          <a:effectLst/>
        </c:spPr>
        <c:dLbl>
          <c:idx val="0"/>
          <c:layout>
            <c:manualLayout>
              <c:x val="0.35005162440293502"/>
              <c:y val="-6.8870775778727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3467185219397261"/>
                  <c:h val="0.34623375284149932"/>
                </c:manualLayout>
              </c15:layout>
            </c:ext>
          </c:extLst>
        </c:dLbl>
      </c:pivotFmt>
    </c:pivotFmts>
    <c:plotArea>
      <c:layout/>
      <c:doughnutChart>
        <c:varyColors val="1"/>
        <c:ser>
          <c:idx val="0"/>
          <c:order val="0"/>
          <c:tx>
            <c:strRef>
              <c:f>pivots!$F$38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81-449F-AEE1-7CDFF48797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81-449F-AEE1-7CDFF48797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81-449F-AEE1-7CDFF48797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81-449F-AEE1-7CDFF4879795}"/>
              </c:ext>
            </c:extLst>
          </c:dPt>
          <c:dLbls>
            <c:dLbl>
              <c:idx val="0"/>
              <c:layout>
                <c:manualLayout>
                  <c:x val="0.1330082722448217"/>
                  <c:y val="0.19575317965302691"/>
                </c:manualLayout>
              </c:layout>
              <c:showLegendKey val="0"/>
              <c:showVal val="0"/>
              <c:showCatName val="1"/>
              <c:showSerName val="0"/>
              <c:showPercent val="1"/>
              <c:showBubbleSize val="0"/>
              <c:extLst>
                <c:ext xmlns:c15="http://schemas.microsoft.com/office/drawing/2012/chart" uri="{CE6537A1-D6FC-4f65-9D91-7224C49458BB}">
                  <c15:layout>
                    <c:manualLayout>
                      <c:w val="0.26330014373867311"/>
                      <c:h val="0.34623375284149932"/>
                    </c:manualLayout>
                  </c15:layout>
                </c:ext>
                <c:ext xmlns:c16="http://schemas.microsoft.com/office/drawing/2014/chart" uri="{C3380CC4-5D6E-409C-BE32-E72D297353CC}">
                  <c16:uniqueId val="{00000001-9681-449F-AEE1-7CDFF4879795}"/>
                </c:ext>
              </c:extLst>
            </c:dLbl>
            <c:dLbl>
              <c:idx val="1"/>
              <c:layout>
                <c:manualLayout>
                  <c:x val="-0.15725797131438496"/>
                  <c:y val="0.1003860515557466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81-449F-AEE1-7CDFF4879795}"/>
                </c:ext>
              </c:extLst>
            </c:dLbl>
            <c:dLbl>
              <c:idx val="2"/>
              <c:layout>
                <c:manualLayout>
                  <c:x val="-0.12062759788984335"/>
                  <c:y val="-0.13552079048093701"/>
                </c:manualLayout>
              </c:layout>
              <c:showLegendKey val="0"/>
              <c:showVal val="0"/>
              <c:showCatName val="1"/>
              <c:showSerName val="0"/>
              <c:showPercent val="1"/>
              <c:showBubbleSize val="0"/>
              <c:extLst>
                <c:ext xmlns:c15="http://schemas.microsoft.com/office/drawing/2012/chart" uri="{CE6537A1-D6FC-4f65-9D91-7224C49458BB}">
                  <c15:layout>
                    <c:manualLayout>
                      <c:w val="0.21614448604020614"/>
                      <c:h val="0.34623375284149932"/>
                    </c:manualLayout>
                  </c15:layout>
                </c:ext>
                <c:ext xmlns:c16="http://schemas.microsoft.com/office/drawing/2014/chart" uri="{C3380CC4-5D6E-409C-BE32-E72D297353CC}">
                  <c16:uniqueId val="{00000005-9681-449F-AEE1-7CDFF4879795}"/>
                </c:ext>
              </c:extLst>
            </c:dLbl>
            <c:dLbl>
              <c:idx val="3"/>
              <c:layout>
                <c:manualLayout>
                  <c:x val="0.35005162440293502"/>
                  <c:y val="-6.8870775778727883E-2"/>
                </c:manualLayout>
              </c:layout>
              <c:showLegendKey val="0"/>
              <c:showVal val="0"/>
              <c:showCatName val="1"/>
              <c:showSerName val="0"/>
              <c:showPercent val="1"/>
              <c:showBubbleSize val="0"/>
              <c:extLst>
                <c:ext xmlns:c15="http://schemas.microsoft.com/office/drawing/2012/chart" uri="{CE6537A1-D6FC-4f65-9D91-7224C49458BB}">
                  <c15:layout>
                    <c:manualLayout>
                      <c:w val="0.33467185219397261"/>
                      <c:h val="0.34623375284149932"/>
                    </c:manualLayout>
                  </c15:layout>
                </c:ext>
                <c:ext xmlns:c16="http://schemas.microsoft.com/office/drawing/2014/chart" uri="{C3380CC4-5D6E-409C-BE32-E72D297353CC}">
                  <c16:uniqueId val="{00000007-9681-449F-AEE1-7CDFF48797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pivots!$E$39:$E$43</c:f>
              <c:strCache>
                <c:ptCount val="4"/>
                <c:pt idx="0">
                  <c:v>Female</c:v>
                </c:pt>
                <c:pt idx="1">
                  <c:v>Male</c:v>
                </c:pt>
                <c:pt idx="2">
                  <c:v>Other</c:v>
                </c:pt>
                <c:pt idx="3">
                  <c:v>Unknown</c:v>
                </c:pt>
              </c:strCache>
            </c:strRef>
          </c:cat>
          <c:val>
            <c:numRef>
              <c:f>pivots!$F$39:$F$43</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681-449F-AEE1-7CDFF487979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sales.xlsx]pivots!shipment duration</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How long we take to ship the orders</a:t>
            </a:r>
            <a:r>
              <a:rPr lang="en-US" sz="1400" b="1" i="0" u="none" strike="noStrike" baseline="0"/>
              <a:t> </a:t>
            </a:r>
            <a:endParaRPr lang="en-US" b="1"/>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83759788025E-2"/>
          <c:y val="6.9210800966317057E-2"/>
          <c:w val="0.85024568932747835"/>
          <c:h val="0.84265837488965623"/>
        </c:manualLayout>
      </c:layout>
      <c:barChart>
        <c:barDir val="col"/>
        <c:grouping val="clustered"/>
        <c:varyColors val="0"/>
        <c:ser>
          <c:idx val="0"/>
          <c:order val="0"/>
          <c:tx>
            <c:strRef>
              <c:f>pivots!$B$114</c:f>
              <c:strCache>
                <c:ptCount val="1"/>
                <c:pt idx="0">
                  <c:v>Total</c:v>
                </c:pt>
              </c:strCache>
            </c:strRef>
          </c:tx>
          <c:spPr>
            <a:solidFill>
              <a:schemeClr val="accent1"/>
            </a:solidFill>
            <a:ln>
              <a:noFill/>
            </a:ln>
            <a:effectLst/>
          </c:spPr>
          <c:invertIfNegative val="0"/>
          <c:cat>
            <c:strRef>
              <c:f>pivots!$A$115:$A$130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pivots!$B$115:$B$130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024-4D10-A8AA-B75D6A756BEE}"/>
            </c:ext>
          </c:extLst>
        </c:ser>
        <c:dLbls>
          <c:showLegendKey val="0"/>
          <c:showVal val="0"/>
          <c:showCatName val="0"/>
          <c:showSerName val="0"/>
          <c:showPercent val="0"/>
          <c:showBubbleSize val="0"/>
        </c:dLbls>
        <c:gapWidth val="10"/>
        <c:overlap val="-27"/>
        <c:axId val="802887919"/>
        <c:axId val="802889839"/>
      </c:barChart>
      <c:catAx>
        <c:axId val="80288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889839"/>
        <c:crosses val="autoZero"/>
        <c:auto val="1"/>
        <c:lblAlgn val="ctr"/>
        <c:lblOffset val="100"/>
        <c:noMultiLvlLbl val="0"/>
      </c:catAx>
      <c:valAx>
        <c:axId val="80288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88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sales.xlsx]pivots!customer satification</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How happy are our customers?</a:t>
            </a:r>
            <a:r>
              <a:rPr lang="en-US" sz="1400" b="1" i="0" u="none" strike="noStrike" baseline="0"/>
              <a:t> </a:t>
            </a:r>
            <a:endParaRPr lang="en-US" b="1"/>
          </a:p>
        </c:rich>
      </c:tx>
      <c:layout>
        <c:manualLayout>
          <c:xMode val="edge"/>
          <c:yMode val="edge"/>
          <c:x val="0.23410285681299739"/>
          <c:y val="6.4611502271444701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pivots!$G$118:$G$119</c:f>
              <c:strCache>
                <c:ptCount val="1"/>
                <c:pt idx="0">
                  <c:v>1</c:v>
                </c:pt>
              </c:strCache>
            </c:strRef>
          </c:tx>
          <c:spPr>
            <a:solidFill>
              <a:schemeClr val="accent1"/>
            </a:solidFill>
            <a:ln>
              <a:noFill/>
            </a:ln>
            <a:effectLst/>
          </c:spPr>
          <c:invertIfNegative val="0"/>
          <c:cat>
            <c:strRef>
              <c:f>pivots!$F$120:$F$123</c:f>
              <c:strCache>
                <c:ptCount val="3"/>
                <c:pt idx="0">
                  <c:v>Jan</c:v>
                </c:pt>
                <c:pt idx="1">
                  <c:v>Feb</c:v>
                </c:pt>
                <c:pt idx="2">
                  <c:v>Mar</c:v>
                </c:pt>
              </c:strCache>
            </c:strRef>
          </c:cat>
          <c:val>
            <c:numRef>
              <c:f>pivots!$G$120:$G$123</c:f>
              <c:numCache>
                <c:formatCode>General</c:formatCode>
                <c:ptCount val="3"/>
                <c:pt idx="0">
                  <c:v>7</c:v>
                </c:pt>
                <c:pt idx="1">
                  <c:v>8</c:v>
                </c:pt>
                <c:pt idx="2">
                  <c:v>6</c:v>
                </c:pt>
              </c:numCache>
            </c:numRef>
          </c:val>
          <c:extLst>
            <c:ext xmlns:c16="http://schemas.microsoft.com/office/drawing/2014/chart" uri="{C3380CC4-5D6E-409C-BE32-E72D297353CC}">
              <c16:uniqueId val="{00000000-1DEF-4BED-83D8-DB854DB4358B}"/>
            </c:ext>
          </c:extLst>
        </c:ser>
        <c:ser>
          <c:idx val="1"/>
          <c:order val="1"/>
          <c:tx>
            <c:strRef>
              <c:f>pivots!$H$118:$H$119</c:f>
              <c:strCache>
                <c:ptCount val="1"/>
                <c:pt idx="0">
                  <c:v>2</c:v>
                </c:pt>
              </c:strCache>
            </c:strRef>
          </c:tx>
          <c:spPr>
            <a:solidFill>
              <a:schemeClr val="accent2"/>
            </a:solidFill>
            <a:ln>
              <a:noFill/>
            </a:ln>
            <a:effectLst/>
          </c:spPr>
          <c:invertIfNegative val="0"/>
          <c:cat>
            <c:strRef>
              <c:f>pivots!$F$120:$F$123</c:f>
              <c:strCache>
                <c:ptCount val="3"/>
                <c:pt idx="0">
                  <c:v>Jan</c:v>
                </c:pt>
                <c:pt idx="1">
                  <c:v>Feb</c:v>
                </c:pt>
                <c:pt idx="2">
                  <c:v>Mar</c:v>
                </c:pt>
              </c:strCache>
            </c:strRef>
          </c:cat>
          <c:val>
            <c:numRef>
              <c:f>pivots!$H$120:$H$123</c:f>
              <c:numCache>
                <c:formatCode>General</c:formatCode>
                <c:ptCount val="3"/>
                <c:pt idx="0">
                  <c:v>37</c:v>
                </c:pt>
                <c:pt idx="1">
                  <c:v>51</c:v>
                </c:pt>
                <c:pt idx="2">
                  <c:v>39</c:v>
                </c:pt>
              </c:numCache>
            </c:numRef>
          </c:val>
          <c:extLst>
            <c:ext xmlns:c16="http://schemas.microsoft.com/office/drawing/2014/chart" uri="{C3380CC4-5D6E-409C-BE32-E72D297353CC}">
              <c16:uniqueId val="{00000001-1DEF-4BED-83D8-DB854DB4358B}"/>
            </c:ext>
          </c:extLst>
        </c:ser>
        <c:ser>
          <c:idx val="2"/>
          <c:order val="2"/>
          <c:tx>
            <c:strRef>
              <c:f>pivots!$I$118:$I$119</c:f>
              <c:strCache>
                <c:ptCount val="1"/>
                <c:pt idx="0">
                  <c:v>3</c:v>
                </c:pt>
              </c:strCache>
            </c:strRef>
          </c:tx>
          <c:spPr>
            <a:solidFill>
              <a:schemeClr val="accent3"/>
            </a:solidFill>
            <a:ln>
              <a:noFill/>
            </a:ln>
            <a:effectLst/>
          </c:spPr>
          <c:invertIfNegative val="0"/>
          <c:cat>
            <c:strRef>
              <c:f>pivots!$F$120:$F$123</c:f>
              <c:strCache>
                <c:ptCount val="3"/>
                <c:pt idx="0">
                  <c:v>Jan</c:v>
                </c:pt>
                <c:pt idx="1">
                  <c:v>Feb</c:v>
                </c:pt>
                <c:pt idx="2">
                  <c:v>Mar</c:v>
                </c:pt>
              </c:strCache>
            </c:strRef>
          </c:cat>
          <c:val>
            <c:numRef>
              <c:f>pivots!$I$120:$I$123</c:f>
              <c:numCache>
                <c:formatCode>General</c:formatCode>
                <c:ptCount val="3"/>
                <c:pt idx="0">
                  <c:v>150</c:v>
                </c:pt>
                <c:pt idx="1">
                  <c:v>182</c:v>
                </c:pt>
                <c:pt idx="2">
                  <c:v>163</c:v>
                </c:pt>
              </c:numCache>
            </c:numRef>
          </c:val>
          <c:extLst>
            <c:ext xmlns:c16="http://schemas.microsoft.com/office/drawing/2014/chart" uri="{C3380CC4-5D6E-409C-BE32-E72D297353CC}">
              <c16:uniqueId val="{00000002-1DEF-4BED-83D8-DB854DB4358B}"/>
            </c:ext>
          </c:extLst>
        </c:ser>
        <c:ser>
          <c:idx val="3"/>
          <c:order val="3"/>
          <c:tx>
            <c:strRef>
              <c:f>pivots!$J$118:$J$119</c:f>
              <c:strCache>
                <c:ptCount val="1"/>
                <c:pt idx="0">
                  <c:v>4</c:v>
                </c:pt>
              </c:strCache>
            </c:strRef>
          </c:tx>
          <c:spPr>
            <a:solidFill>
              <a:schemeClr val="accent4"/>
            </a:solidFill>
            <a:ln>
              <a:noFill/>
            </a:ln>
            <a:effectLst/>
          </c:spPr>
          <c:invertIfNegative val="0"/>
          <c:cat>
            <c:strRef>
              <c:f>pivots!$F$120:$F$123</c:f>
              <c:strCache>
                <c:ptCount val="3"/>
                <c:pt idx="0">
                  <c:v>Jan</c:v>
                </c:pt>
                <c:pt idx="1">
                  <c:v>Feb</c:v>
                </c:pt>
                <c:pt idx="2">
                  <c:v>Mar</c:v>
                </c:pt>
              </c:strCache>
            </c:strRef>
          </c:cat>
          <c:val>
            <c:numRef>
              <c:f>pivots!$J$120:$J$123</c:f>
              <c:numCache>
                <c:formatCode>General</c:formatCode>
                <c:ptCount val="3"/>
                <c:pt idx="0">
                  <c:v>312</c:v>
                </c:pt>
                <c:pt idx="1">
                  <c:v>373</c:v>
                </c:pt>
                <c:pt idx="2">
                  <c:v>351</c:v>
                </c:pt>
              </c:numCache>
            </c:numRef>
          </c:val>
          <c:extLst>
            <c:ext xmlns:c16="http://schemas.microsoft.com/office/drawing/2014/chart" uri="{C3380CC4-5D6E-409C-BE32-E72D297353CC}">
              <c16:uniqueId val="{00000009-1DEF-4BED-83D8-DB854DB4358B}"/>
            </c:ext>
          </c:extLst>
        </c:ser>
        <c:ser>
          <c:idx val="4"/>
          <c:order val="4"/>
          <c:tx>
            <c:strRef>
              <c:f>pivots!$K$118:$K$119</c:f>
              <c:strCache>
                <c:ptCount val="1"/>
                <c:pt idx="0">
                  <c:v>5</c:v>
                </c:pt>
              </c:strCache>
            </c:strRef>
          </c:tx>
          <c:spPr>
            <a:solidFill>
              <a:schemeClr val="accent5"/>
            </a:solidFill>
            <a:ln>
              <a:noFill/>
            </a:ln>
            <a:effectLst/>
          </c:spPr>
          <c:invertIfNegative val="0"/>
          <c:cat>
            <c:strRef>
              <c:f>pivots!$F$120:$F$123</c:f>
              <c:strCache>
                <c:ptCount val="3"/>
                <c:pt idx="0">
                  <c:v>Jan</c:v>
                </c:pt>
                <c:pt idx="1">
                  <c:v>Feb</c:v>
                </c:pt>
                <c:pt idx="2">
                  <c:v>Mar</c:v>
                </c:pt>
              </c:strCache>
            </c:strRef>
          </c:cat>
          <c:val>
            <c:numRef>
              <c:f>pivots!$K$120:$K$123</c:f>
              <c:numCache>
                <c:formatCode>General</c:formatCode>
                <c:ptCount val="3"/>
                <c:pt idx="0">
                  <c:v>224</c:v>
                </c:pt>
                <c:pt idx="1">
                  <c:v>247</c:v>
                </c:pt>
                <c:pt idx="2">
                  <c:v>250</c:v>
                </c:pt>
              </c:numCache>
            </c:numRef>
          </c:val>
          <c:extLst>
            <c:ext xmlns:c16="http://schemas.microsoft.com/office/drawing/2014/chart" uri="{C3380CC4-5D6E-409C-BE32-E72D297353CC}">
              <c16:uniqueId val="{0000000A-1DEF-4BED-83D8-DB854DB4358B}"/>
            </c:ext>
          </c:extLst>
        </c:ser>
        <c:dLbls>
          <c:showLegendKey val="0"/>
          <c:showVal val="0"/>
          <c:showCatName val="0"/>
          <c:showSerName val="0"/>
          <c:showPercent val="0"/>
          <c:showBubbleSize val="0"/>
        </c:dLbls>
        <c:gapWidth val="219"/>
        <c:overlap val="-27"/>
        <c:axId val="1044409327"/>
        <c:axId val="1044408367"/>
      </c:barChart>
      <c:catAx>
        <c:axId val="1044409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08367"/>
        <c:crosses val="autoZero"/>
        <c:auto val="1"/>
        <c:lblAlgn val="ctr"/>
        <c:lblOffset val="100"/>
        <c:noMultiLvlLbl val="0"/>
      </c:catAx>
      <c:valAx>
        <c:axId val="104440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09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Where do our customers live?</a:t>
            </a:r>
            <a:r>
              <a:rPr lang="en-US" b="1"/>
              <a:t> </a:t>
            </a:r>
            <a:endParaRPr lang="en-US" sz="1400" b="1" i="0" u="none" strike="noStrike" baseline="0">
              <a:solidFill>
                <a:sysClr val="windowText" lastClr="000000">
                  <a:lumMod val="65000"/>
                  <a:lumOff val="35000"/>
                </a:sysClr>
              </a:solidFill>
              <a:latin typeface="Aptos Narrow" panose="02110004020202020204"/>
            </a:endParaRPr>
          </a:p>
        </cx:rich>
      </cx:tx>
      <cx:spPr>
        <a:solidFill>
          <a:schemeClr val="bg1"/>
        </a:solidFill>
      </cx:spPr>
    </cx:title>
    <cx:plotArea>
      <cx:plotAreaRegion>
        <cx:plotSurface>
          <cx:spPr>
            <a:solidFill>
              <a:schemeClr val="bg1"/>
            </a:solidFill>
            <a:ln>
              <a:solidFill>
                <a:schemeClr val="bg1"/>
              </a:solidFill>
            </a:ln>
          </cx:spPr>
        </cx:plotSurface>
        <cx:series layoutId="regionMap" uniqueId="{06E47175-2C50-4BF9-926B-C6F8AF48C023}">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a:effectLst>
              <a:glow>
                <a:schemeClr val="accent1">
                  <a:lumMod val="60000"/>
                  <a:lumOff val="40000"/>
                  <a:alpha val="40000"/>
                </a:schemeClr>
              </a:glow>
              <a:softEdge rad="12700"/>
            </a:effectLst>
          </cx:spPr>
          <cx:dataId val="0"/>
          <cx:layoutPr>
            <cx:geography cultureLanguage="en-US" cultureRegion="IN" attribution="Powered by Bing">
              <cx:geoCache provider="{E9337A44-BEBE-4D9F-B70C-5C5E7DAFC167}">
                <cx:binary>5H3ZcuO4su2vVNTzpZsASAwnTp+IDWry7LJr7BeGylaT4AQSnPn1N2W7eluU3JuOaMeNo6sey1TS
SS4gkbkykfjv++6/7pPN2nzo0iQr/+u++/1jWFX5f/32W3kfbtJ1eZKqe6NL/Wd1cq/T3/Sff6r7
zW8PZt2qLPgN28j57T5cm2rTffyf/4a7BRt9oe/XldLZp3pj+ttNWSdV+TfXDl76sH5IVTZTZWXU
fYV+/+itE/WnNplaf9y9hn//eG3WWbD54Ok6q/qPHzZZpar+c59vfv+4cxv88cNv49+2p9mHBJSv
6gcQJuSECeRwTh3x+OEfPyQ6C54vWwixE+4SW1Ab/fq1V+sUJKdr9KjP+uHBbMoSHuzxv3vyO08B
7+Jf//Ed3G/fxfbtBwDE7x+/ZKraPHy4q9bVpvz4QZX68WWZ3tPbB/1y9/hmftvF73/+e/QDeFej
n7yAePxi/9OlXRT/A8KeTupy/Q4IixNsC0wocu3HDwyRHYQxPrFtTqhw3F2Ep2t0GOGR/ASERxJH
hvDdOqsAYFMP74AyPRHMQY6N6OF5vEUZc27DTN5F+W1aHUb6wD0moH1A6sgQv0nW9xvzDmjzEy4e
7bZ4mtNkPKfRic0cgmz8NBrELubT9TqM90h+AtYjiSPD+WrTrB/eyXZTzDixn233IZwRGG5nPKun
a3QY4ZH8BIRHEkeGMPhm62Zj1uW7TGYkKEaYsVcWaPuE8u0S7oxM95uUOozz/i0mQL0vdGRo/ysB
F/ddJjR407bDMafkyTCzseHGJ5hhh1Hw0p6c/Cdv+w0aHQZ6fIMJMI9Fjg7kXGXvEVLxEyqIC/72
ayGVOGHwcV3mjEGeqtFrGO/IT4J4R+LIEL6rq+pd3C9xggjGYLLRK842OqHYRc7esjxdo8MIj+Qn
IDySODaEVRmrXtf//KrsoBNGkMvxL0sNLvQ4bKYwy12bglP20lTfvUGnV1Ae32EKzmOZI0N6nnyY
abN+0P881ISfMCyoi5/XZLEHtQ0k2ZYlc+mjhzZiwt6k2mHE928xAfJ9oSPD/F8p4P0+4TMBFwv4
EFiAdyc1IM0wFkB4HkJ6ukKHYR7JT8B4JHFkAMvtAv0OE1qcuAjCJfs1DwyjE9d1KIIFfNd2T1bo
ML674hPg3RU4MnRXdfpTJw/VPw+wA9OUU/CvMETEuxPYOUEUERtCrCfXbBfft6h0GOK9O0xAeU/m
yID2NCRitvRXueW3//EUFT+xEaBJCCzC2884RQXUNiKwODMEV156Ym/V6zDiB+8yAfWDckeG/PnG
ZO+AuHtC2KP5fvK3tqnHnVmOxOOQgCAM+JOXiE/V5zDSO9ITEN75/pEhO9skH640JL3/eXi3oZXr
gJ+1ndXbzx4J5kDK0iFAgo1YsDcpdRjj/VtMAHpf6MjQhlTchwWUGNyr8l7/mlL/RHkBg4Xathnn
z1DvhVb4xIEKC5eTUYpqR6MpY/Aw3IdvMwHyw4JHBvsCSjKy94io6ZY8oa6LngmyMexgwBl34S80
qjmYrtFhvEfyE4AeSRwZwhe6/PAvqBxKNu+RuXJObBdjwh33yZCPPTPET7BDINZGT6mtUbT1RuUO
I37oJhNgPyR2ZNgvk032Ht4ZRNfYdpHYD77AERccMeKO1u3JmhyGeFd8Ari7AkcG62mab4xaJ1MW
xTcWA2LgOTF3t4Ujj59xuQFyT4DxBrMO5Nn2M5rPb9HsMNJ7d5gA9p7MkeF9p5P1uyzSYJwhR8UZ
I49g7kVZ25IxR3DXHtcdTNfoMMoj+QkYjySODOHTrH8fJ4zbGEw1e85D7zlhHMy1oBSc818u/1Ox
wVR9DqO7Iz0B253vHxmyV+v8fRgxLKBKBOjrp5k7ttMwc4H/BP6bjxbiqfocRnZHegKyO98/MmQv
10bl+l0KttmJwx3MALzDdhmCJ0EdxjGzn9zu3dn7Fs0O47x3hwlY78kcGd7nsBfkPUIoegIkJszl
XyHUnpEWJxSuwVQfU51TFTqM8e7zTAB4V+DI0P2hk/dYgaESjMHqC4Z4RGBDAhIuMAS5qt3JO1WR
w6DuSE/AdOf7RwbplsC7qFX54fqnKvP3QNeFRRZTKL8GhnP7GWcpMNTtQpwEWeYD3OYbVTuM92vP
OAH610SPbBRcrON3yGAQyD9BkAzr73PoBG7WToIKHDCBXEQ5G5VsT9XnMN470hNA3vn+0SFblpt3
oLegtsCB0l0unr0ve8+5hmkNlx1ORyvyxXqqRq+huyM/Cd8diSND+Ef98z2CJyjeBYCBv3xtuwUU
B8G85c64sHOqPofR3ZGegO3O948M2cv1A+yleQcCE3ZBUgz0M3veL3VgSYZ6XQiv0GhJnq7RYXRH
8hPwHUkcHcJGvYNxJmy7zdUFeJ9rdccZJ1h4XYLANG+rhF5Whmzj00kKvYbvS/FJ8L4U+F+A7t+r
uPPE253s//r1eg9UCby1BwEDItqhVKDn3azjWQuEB0UMM7DbhwgP2I72V9+EJ8gP6XQY15eyO8/4
9Ih//1L+1/UY2Dr9Z3pd1NOmwhuzRzA3YWY6GAo6Hj97jhM6wQKYDiGerDPA/HKGvlG5w3geuskB
XHd+BO01DokdGfaXm+xB36t3ySRtXaptHRd75qPHExgTKOhilJBtqddLzN+k1GHE92+xA+7hViL7
QkeHtrmHbijeP16My06ITQXl9Lmga28BhvCJg2+NmPNoBEaT/HIzVa/X0N6RnwT1jsSx4axhUv/z
MEOJpiNsAbzzczuRvTp7+wQsPeyvQGDld2b0VIVewXdHfAq8OwJHh+67mOtt4t+FDRS/ajLH9bfg
b2HoFQMB8jhK0tP0eQ3bF9KToH3x/SNDFhwO2Csh1+bn+l0CYWdbVrsNg14vwKSCEwdB36fHz+4s
frN6hxE/fJsJ0B8WPLIxcAnbZjZm0//z5ptQSDxB6onYzxzXAVecuhQYrnGfibfodBjzvTtMgHtP
5siQ/rwJ1+k78F3AVUMpHoUi3Fem+bYQBCY5bHV8islG3th0vQ5jPZKfgPRI4shwvklq6Cf5DvMZ
Kj4IZbBD/Rnn8YoNqUZISIC/Rkb19NM1OozwSH4CwiOJI0P4Tm3MuyzYUFRNbQLbVp/CpkNZJ7gI
SzrUY24/o5k8Xa/DOI/kJ+A8kjgynG8VdPsq1cN7JI/JieC2S8jz5sa9ugFouUqgFxhU/Izc7zcp
dRjn/VtMgHpf6MjQvlvfG+j4lVXvUSbCT1wGDaGgSuTJ096z3dtYe/sX7Hg9NLPfpNth1A883wTY
D0gdHe7ZB7mBxsHvgTuFxslQYA/pyCfcYTLv1ogA7ja2oY3BqEYEgp83aPUa4nv3mIT4ntSxIQ4M
xnt44tBDyCGCQlX2axEX7K1BEHJB7nkUak/W6BWkd+WnoLwrcWwIP84ek63Nw/skO6DDCLTLRpw8
136NY2tYvjGUfEJ/3hHQb1bsFcAP32cK8Iclj3AAzNQmeA+b/jiJmQub5EbGHEBHlHAYFc/Wfh/7
yTq9DvvuLSYivit0hGBfQsf/9wD7cR8GYxBTv+K4AbmCOWQ+nXEwBvNsslKvo717i4lo7wodH9rb
DkPJ+3DmEHbBVnUo6X0ttYlOYKscgm7bI5Llia2erNariO892zTM98SODfVw/S6NpYA9hRa8YLXJ
a5Wg+ARMus2hyn9kzidr9ArWu/JTYN6VODaEq3WmymRdvwd3yqBc24aeBPS1Wn04K8Hetqlgo5JB
OErmDVq9gvT+PaagvS91ZIh/hupIOMHon6fKt60BYUcdFKI9Jzb36BbYmgEbsiDxOVq136DSYazH
N5gA9Fjk2FCuYal+DwoVdk0Se5vTer1iFIvtYu2OylM+T9boFYx35adAvCtxdAjDsVXpu7TRh3JS
DoE01Is+0qJ7NDnkvCBfghDHexhP1+k1lEd3mITzSObIkP4K9Hj9Lqkv6PYHiS1iv9bfc1uOJKAl
DbVHC/QbVDqM8/gGE2Aei/y/QPn1E+r+Oupvtq7W88dDAl8cUvf3Vx9fEZxtOBJ9ru47UFL/V2+J
04ffP0LlL3Ehq/Wi9n97o53awM/10xT55Uzvym3Ay//9I5w4CNXEAur9HTgTZ9sDAW7Zbp4ubXfU
wvYOqGzBDoXNlzAeMuhRGcI5hlv+lRAOiwIV8BUMIVqp68dL4ADCDxhEddtqRiiV+OsYxxud9IHO
/novz3/+kNXpjVZZVf7+EdodffyQP31vq+82/Qp5GqicgW29jkO4ADciv1/fbrfjw2v4P6hxTWrp
NL0e3PCMICSdRruyi7PZkEV60QAJLCM/uXTyJF64xFnZNVqqvLoOa+s0S6KZaPGnDFleTdBZW+br
uHZ++GXixVl12Q3oIhDOagipkbGley9kwY+yTz41vh/PaZquhU2p54R9If2kzr0Btcl52idYJnFY
Sp5W2TdNwvO61vwiI+kND+NECi1sOTDLMyL+SS13QXx0E3b6OjduJHMRfW9RQ6XO6DV3i3qG65jJ
GLXquqb6gWodSbcLK28IGfVUE6NTt+cXVcVOiZ9+Jn236Z3hsnTEz8QvP7d9o2dREiw1rc+pOxCp
G3rtanaWVEkgReh+IZY1G3T1RxvSRdmYRhpkFbIV/MYR5jxJ9XXUxldRGy1yC/le7bbKi1hiSWSs
byI1udRDPrPd6CI0QyeHvD8nIq5OMzcpZBoPaBFSkS6sSPzRsfTGbeoLp+b6Ki8+2Zos0ljNe4au
getb1KS77VEjuyhSkhi0Jij0VGJ9bxz/G8QWC1rXtRRN665Ikv5Uff0lt2wyS4c6lqiLrvoGXl0R
15/szu9mZUzTr4VzSvuSV7LigZakYM1VYPOF3/q5TF3aen3d3IV9NIf/VwtFy2RWFdnXGtTwi2Hw
YmV10mn10lU2vBuOPG3350UDOESRxWRk82Sme27Lvie3iuvztvUfnCKPpKL0s6PprYUZ8ayKXohU
+7J2WeiFeZFIZcJby/VP3ahyLlxdhbIros/cz+65rWaZn35Kw/ghyszXQNi1hINOWi+Ah1rlPmo9
Yflc+roLPOijvyBO1UnFfC/RKl7kqp4NIl25Q7y0nWYVY5LMs7rr57isN9x185lDi8azWf5d63Qu
UJ5chC687SIplRfooZVZh0pJStNJizMkh67XEvbg55dDb74UQ3zr5zX3HDsyUisLSdVxPkvrrJaJ
0ee27pILlMaLmpffFWUXwOXcZo1WHlMi9Sw0DMs0i2qZ+aZdiD6DkUnwH3lW3PEGgHfbYNa7w5Vd
+w9+Y6EZadxbkfPbuvVXLcmMRL5/ymKLSxcGvYRyjUU38MQzKHMkDuJS5q1pZVSYxrOGfh2QofTc
0gq8BN6orCxzVjXWzI7pHPUslyhJ1TUcvrpUA07nfXxrRRKFviObYFhbcb+uGvo56JrPcYJmdcdv
Yoxjrw0Gx2sxiSRR1teeW5msEjYPh2oR9g09U6poZY4qF2BvAplZ/Rpw7c+c0p3rPHdkDE7VDFvO
BnflZWJbl51dZXPF+2xu98NaD2rV55XraZr2AJfKZd8yJnuja4mL9i5lrfaKskJLHwfCg9NHQZ8m
yWZtDSMQfv4nTrpe9m7iy9hRTPLEui1qe1OmMCQcmqozzdiX3BRXZRI2EiNnk+f2NbPaRRl1VFo4
ceZZy/CComgR2oO58JG97DIH0IY3fl5k8NBxBqOprrIfTprohbbABgeKC69pjCPB9K98h3Yrjfp1
QZVeCjCNTqwWBaktLwydy6EKr8uEpNJlNp/1ity1UdrKwNE3RWkvI+N8zgewlRrdoaDAnh64kbZm
6yDIz3IanmF4uFmrbCpdu/5i0QF5fqSKeRI1kTQuDOq49H80dPhhquI2LJ1gFSTWKo9QPU/BwEmn
qu9yjtKZiQFfYukZJ6b1WuZnMkjNz8gkYCpyT4fiGgzdMijCVGKn/Nz77dcYV99Mwcksietvjhjs
FcItmgHbEZ4PZdTMFA9drw+TVOqg6GWCyKkpo7uMkuWQ13rmx+hHG3e2FEm0cBMReVzEWJKcSmHw
14Z+asuzwf/eqnMnJJ+yqJBwRsrXyEq/KJICNFm1pJm+wtApycsTVK7siG4QGPo56sRNoyhMbcfy
V5bbJ5LRQc0TpmqpHGemRXtR5sltI/CKdQmYX9XPhx7dZS49D3U/SBXU31jVR9IuqrOiumpoLyu3
VjJgwY3TEzVLtFBLXJjIc436hvphmSQmusgsMP+DZS5Fz6xF09fxglRdJAdEiCxzDmj56bzNgzNX
cMsrKQ8HiXQgCtnXBK+cTm+4SsPLNqukkwdgsdm3SKft0lSKKVkVQ3+FQlt5YQk4s36gq4BXc6V8
T4P9OvOrQVwjYvS1PVjDyi8r57Rh4VViQs7XtdP3y6HrMNhjXsxh8YgWoggWqYsuce6egjU6oz4M
HegSJU1lDTPLOOSrYjlYiKYIpFNaq7BwrhynDFZZaG9Ib2/8PvgJS04k+7Bb9bY1Szmb4diGRwcd
S4L0LO6S+07FmXSDcIntCMvKJ2AeAvo97NJm2aMqmrdFOC9QqSXGw4I2lvJgs/x5AC87/1nZZ8jx
b2OfrSyrxVfKsGuSd76n6hR5cWJ/gdcPqzhKNnkXnTU4YIu86D6Zki4jXpYzl7BskXV27PXGzmcq
yZVERfs9qzrjdcmd6/QzmrhfUlHc9EVUSTrEp61DF0YlNw3ME1nqboGq/DPTzj0Y15tKtJmXhDAE
FC1ukWUWYODQsnUMLNmovMpCrCQb0CqjFZYiSq+ZML2M/bCeKxH3c9NVMB7aIJmFdAiloeU87ZJQ
5tQppdJ4PZQ4k0nbLpmKwDhzegUR8Xdj8ouOJczTqTVHqvPclv+ApWXRtPjWFM05zNwVw9SWRRt+
yYcy9yKVXLYIltoYXSi/OvcT/c3N0ffWj2GNyNi3EneXumON1yphychCuRRu8DXt7cxDVnI6qDPj
mMsuCBZ5i+NZrfin0M1hjbbolzpvLoculHamfiaOe1bEKAHY+4um4/WqN301zzp6mSKeeTQFQ2iF
S9tVdFa4zirW+KK1h/PaEOIF7mA8OtBvUZumN8S3h1lQcUtarcGzJnQG2dQi91oHE+mmWe/lJXPm
fDCr0sF6ZuzoJ2vBh+FdfcPykiyFafQyEGV5kRZwXndB2vMkYhyMkr+ME99airSNwOf0K5hcbsIH
5zOtrDOqWLqkoT4V4G3lMslJROXQCKrky7O+d5z8e533RgXh83Htf/3xfz7rFP5+PPz73z/cnvb+
7z8tN3rbH7Ecf2kbjv31rX8fIL4Nf/46TXwUVD0dGf9KxPW3F98Ujm337/x1HPxeOPbYJXc/Fnvc
9PMci0GfKjDoUEDOoD4N+vVDwPVXLAY8KnR+hr+hmQa4klDW8isWE3DI5bZzKPRigAon4sClX7GY
2HI2cC/4F4K277D94NdL2IEJwtADsRiicKcXsRjEm9ALgEMwBqWxHFqobXczvIzFsr5kuKu5uMYp
TOrIRUO+NEQH2Sdiwcyfu2Fa+n8Igs0nkvgZPUsblXkwhi5oJC5MJmIvT+OfcaHPenCNG1wFi95x
NEx/knSpZ8hwmnWkmNeN+BTz9s/ET8GXNHwtary0GAbPWM0Ct1jaQb7kGbnqcmtlqeSnazrisUhf
BFH7KcYqkrQys8DQFVR+wjIZ5RBqtJ4S2pIq6pfQr+QKD/ZMYfC529BNFrXdryAsMeC+oZ9RisBN
b9xTw9n33GGng2nv86y75MIk7tyHZ/shTDSrfBrL3NUb0/NZnES2jEQF5s7WxfVgWYsuAluCG7Qq
Kn3exAnYmsqOZEwsM89Tlp1CjTI8bWbZs1IP39KyueQDmN02KmEtih0zx4rI0MHLiNTBwsQk8JAJ
2Dxq0ZrH5jwu42ZWOAw8ZV3/SDv/jzqK7sJMX3c9zG4r9d1FWuLcy+zstFXgVApVdhJZqTuzW6eR
OuV6mYcNmdVWmnoQ0V/kUf8pdePTMoDFL8TRQ582XNocXG6j/a88cZAkAfi4uG4hjkR/Vtg6Q019
2lb9RWRULH1RRbIpWbYSbd1eaIOiWe9YluxodTHEySa1svY74HleuX8MKb10VOk1SXKTFNGZTf27
towqz7RxVM6AwCjCCwtn9TDPVBwEMk8SHVKJqlgUV13gstOk5I7luU24VJxDLJMGhbjEzArPWKyb
JQ5jfQrvJbfnjq3yZehzcefHfi28pEddJgsNLkXj9s4S4nMnmSV1FyxRr0PwojKDL1iS1N+4pnxl
DbH9/f9Hc/jSsLlQwfF3lvBlF4inzaxbqudJ6i9aCuq+tp3ubTiVxIWjC+CGf5lC2G23PaEbuAAO
XSwcYISeTaEDLZTRdqelvW1d8WRAf5lCDJ1K4IZgvzhkoLc80ltM4ZZ1+jcrBZYQKDMMDccobPoi
0INhy1q9YKWqgei8qOvuKmuJmDetHwJDQiIWezFrm09A+fRnUddk8dy24+pHpZ3mS+yUXSFLkRXf
Xry9Q4YZkmxjbaACDhpbwi5wOO54m2p7qY2T9Xkswrq5wkWGroJ4yICBYBrCga6ptJBN69Q/WJNb
SpqUV4VXRCYOpD+AJwExCMseRFXZ13CPEPyCJEFfBtfiaNlT19+g3kLd4u81xnsrCbRUhT1z0PYL
mljA8WH2SGPFQsC2r65I5wbBjHZD8qWBdYwsKtYDv9f0HdgMoDo40Gi0V7KPbbJMG9OjGbg31UPY
lSXylJW7s7JSupFVGgJ1w4wbB/NAR+FNXIuztBRhOYN6BPG1DIvzOGndbq5Ki14CLdOky79/qn0Y
mAN7AAEI4FIpeXzoF4OC9VbQWnkCXnDli6864AhLJ8YwNHKgZW7azog7YHWSJwMCbs7hdXmXIXVt
2PwPZ3ExAkeWQ58eTLZqvfi1rt0FTl4G2VUGa8cVisP6KiuNp7gffv37BwT/Y2ecbX+TgCJqBt3Y
oOkAH42zPHP6oTChvuK57ayLVptk6Ve8xzLOw7ld1MngEbvn2ouA20n/06DZDoqXkw6eEm9bbDtw
NDucOjf+9bABU4VBlqorVsTuOo1qdx0nWx3cIS3n1GgtexugX7ZJ0WKgCDXbVIkoT1vROxcdJcb2
SBvpGKjNLP1CTA60TMj7fpNbDbCb1pAyzxXaMSuX0KF+8ntfxWl72MpYf7Y1G7AJGM4ch06lu0DZ
tHYz1/WtS1T76VqZqgxgJY4rWFhJ32fBWRuq+GfABcQ6QxEuqHY65WHUsD8rNgwauIWAeY6Omo0y
hD00bh6ys7+H2HH3QCYOgUG0zedDsZ3LICHwcjhRw5VtwopcRsBv+oLPKhEOy67qiFhUTV17pivs
T03au7UMw5BtybhliU2+TJwcQ1hapLd54qadZEkbfAOKR5/2ZVWBn1TkX2gZ85lfZMAx6y0BrCoS
tdKPyuyqza3yurAGMg8CJCJpDX6WgvcUAsVJq+QWR8FNABxiJ5OaFVeVX3yucGqRGYXIVyLVY7AN
Tj0M0m55dJGELv/h27VzFlKOLgag9YTX2qGTejDo1KnFTQ+eVs+HGWpdoMej7j4vi+quti0Wyjat
2MIvi/rU8TH+XISojZc+s5CSQxj7P6GwDWh0lRXWH3XK0lmel/g01ll+igqRPKgmpzDvSRrfKeF3
TDaFE5wZ39ReD+9hiRwsros27eZOa4oFQh1q5gkcuhd4TRvwwmtw6M/TkphZnQMZ5VuBDb6Qrlaw
1OAW/DmIznjFku9daofn2Ij8ziWVu6xFZOFFSdNhzak289LuomHRxDxYWF1nr3GZtH+WQZ673oAr
8H6zADfBoqsiDZOjbed90NR8AZ5eOEsqkq4y+KoEc240vOi0ATK8BE7cY37LJNNuNwCrlvgeqaws
XRoazwOn7u1PLUHOTJXGToBCd4oKiJFWlMuOsO6CxsOQ+J/qtqjSVPYq6TPzEPohcCA/ytaCDEII
jBiYcn2P+zSqiIGTPes6t6+quErj7kyoYlg2oq7809Qo4EsjnOg7m1nkNOoJqb0aMPBlX9gCkhVh
CqR15vuwHlZJ3BZzGreB7ZmkQv51WNiU6VXcszac9V0iqgtaVgRGVOtrVLZeDWvhglph5F83MHVo
4BU85zDgSFymiyxRRsikgMXLn3dAwXmWD10CXNn7dubAGY4+eNWhAEJ70SYsSeelD17Bws2CFEL2
wQWLmQGtWXtpaCwIico+KG9KBb74XAO5+qdVN0zZM1vjaqkcXvMr1/ID/ywjrGJu5GVdCfTYqoSo
zYTzPAhZOvfLZigWwpSZWvQJcMoruyzT3HNxn0A41QE7uDSqUJYHsOJvVp4OQL0TGqcz+Me2riGQ
sUp45Vn2LUpTkZ4SI6pkHocVvR3qipBFZGmMzsM2BCdfshCH1dI3TZ7dwWJMzqJgwJAUyEGDuYYU
1DDnqBuEx6M+by9T3sPQtmCqmJmPUH1miOsmswDIsXrGsgbgVKwE/yQbIjJskhh2gsw4KJDOSJ+G
xSmylbMKFIuph+O4IDOllT8baj92t6xJLm4iv40cj6giGmSaR4N1bvuJs0C5H7igrmA55APCQZ+G
CrXBPBZOCAw+fE8ioUQGwycghde1yhpk1SnrDwNnSvQQOsI8wldoyNSgJG8ci3zukxbXVzQXvZ5l
oqgu3TqDJSkoWQwCIoU06sJXIcp+DCjJwrOiT5NuUbbuoM5RFVSfnQi7a7fzU19yBIN3UWcdI/MS
6FtQvkZROktIAZwVb/25Qqr4AewYeBZREDV3JSS0fuYmJKuGtYE/57FrY5lxH+7jJjrqFplp0NXQ
5cT5VFYu+owqC77RUqvkXgVJkW7e4DRSK9Nh3J5mLCjxtbKY+JrZxXZwRlFRLllShuVN1zsV9+yi
BWzCNgPFdAlG9xxWMPEVksUwulOwkmYGHYs6fVqVwsc3kanj+BbzTDinnRO19WXVVVvnM+y7Gze2
aDfXbQq/WuthAFoap9WwtGO2ffit6i3YJ9ArT9GV42bwFHXhwquCkC4ePBE3MHXyJIjVp8wwmPKm
Bq8ggGtgU3GVhdcFcnqTAcke2gB3a7r6MrXCHMhGuy66RQc9HciW58VbowGTyYMnAgPSCbT1k6ss
/erDSeZnvFGKSyD4YxgXfUDXLSR7fdmZqL8FttsuzwNwc6NznWdxdMdhtViWmY2uChEUP4C2oQWE
8aHCZ5oHoj73Qx00s94wyBwNrCfLHPI8MeR+iv4+TmL3pqtLW68Ku2/iby1Ng3KV+lb6Zz+IrQ1R
RRLOIA7gZK5wH5aLnKbim2X76SIFor2QzAEz15s2vFW6Ks9FGkfuzMUGB2D2XAeWoxCLryaymmCe
4AymyWD5RJw6mUbFJgWD3J/B0VMwN9qtxZ5HrgVvtGuGZg6LTFucI1Nj6vkiqRpYaUljg+tdRH8Y
0YjPFtCf6GwQlUEPVQmskUwRYs2pajHcqktROHhOG9DgNAdYWs+KBV0MummqS2AtkruoKSHzwcqV
k3aNuxpaCuDENiqHJST5tb7MaOdcWJXt6HlYZGlzHvRtHnrcLdPwM3gi5YMtMjAjYDrLRkKevi2l
aBtewCrQF3dJUCD1HemB8AayFJD3+5JXxBJws9I385BZcXBm+Xn7Mwxsq/ESVtL4VAkbfepKyx+W
pi5KNVdDDYNU4SoiN12cDO5VSoGbkEXe2EBpoNDpvP/L3pk12Ykk2/oX0RbM8NjAnnfuHJXTC5ap
VDJGBBATwa8/C6lVR6U+fe4ts3sf2qytXqpKyhHwcF/rW45FdyM2ph5w1UzCmiqblpiidgjRw7Tx
56nQvZdMuyUZcfd3wVzFhS0tEXk5iGh8MqF1H9p6wr2Gky59xL1OxQ1LmYsC64Ek2Ca0jkw2qxcv
USZxs67T8ZfQY6MpTFjJ4Coo+0TfjaVIJxzuuKM3Q+PjamJwsPO58WXHz/E01P6NN5M+OpQzT/Fz
zbNTXXWTM5gCqh5qBroxJa/6VZPLwDVUW1EnXV2YmZCDHQM89zaKIDoFZR1ffe9K/0HW3Pxo8n9w
Ib9Ku78qvf83kvFV83Xign/K3zXjP32if0NhGZPEvxaWf33z8a8yzA9GiOBjf4oq64vY1yVEfuq6
eJvvOkD9IargzaCQliEg4BVFMaKVf4gqYH1c4nsY1D2kLTFuYmD4KargfaMuQAK8m24lfOO/xvpg
lvttQArjdajENjvM/vhnVXZ+HT1SGi8p06G+7nWD9jefRk6O/ewGR7ZgWsjbiH6xbeVl8eycE4bp
rQ2phloaFTU0VEiC7cNcyVOXzPeazGdbuqBt6ijN8GSgxDULOkf5aKi9xNQ/wI7JoFPzbEzE9TDP
x2hQUT7T8dAsvcmoEOgBqzQr43SGzu1/+kklcyNGlpGmgxHT+N5m6gDSLEmwhcAIUqJHR52K+sVG
ZZ2JPrAbCMK0INPwEETgWgLleDk0itwfFpJbA8ezgqs+sfKpT91CepHNp9W6a8x7BOClLUda4A1x
X8c2bnIdNc8RTqkM2srBnxMcWXD70Ys9R1WwS+JhyUvjb+tkcjJf0L0X6bDQPNmLmVJIsJC3Gz2/
W16+UzlfE16PWQh9qiFpk9Og23XdfEgwZG/d2UxQWhyeJdXwUZEgLGaXPQ8c/JK/ysWlkt+i0lsu
AthEM4TlSYUNhsHQo1ldRRuHJe6dJ+KpCDBK5M166HAxpztjupMbjvolSfXkZwrE2RYjbb4EcbMJ
yphve+uTvMdksUnqmmRVuvBMeUxcWZLMRQcVaJvwZijK3rG5xN2cTaKrN06DcceSptwwIppTQ3i/
S1Ij771QL49m0XXByUpIiJ5c2YjG28V03QuftHeEMh49a0HpnZjc8aaOvOaQuNN8HtPSL7Tt+RFH
OExOJwjac2nYsHaw81lNC1CwhZLyfU4aJ0HJdcYD88htx1N3U9dm+EIsfvG7ErrdK/io6jNIeuAI
qYcuTFq16ZIkt9SDMtjCW9SAJDIxoTcU3pW0C37rZjOa6izY+II2Ps2dUV2mmpl9Wcp5GxM9Z8rn
6TYOQXYE83AJpCe3IyVQOSYJczk9YfSpsq5v0Bn6yzovp6DnAiAQ3E2aIobjueXKrwe4DfexzzCd
NlF3xYF8nzpV6ccUA9QhAm2Y1egxdk7Cllw40+fslc4e/XUxJ7b5IUT8vy75/37F3P9foc3/3kbw
z6V8/cg/SjnSVCnozCD2AGyjoP9Syl1EcNBSYqkJ3jdH0l+sQixsR7wKhRcvIsQbv3E0/Kzk0UqB
pvhfEYp9CKvwr8jjfvzPUih2MUBpX8U60KHrItpfK7lQNgwxKzmXOKQtcLWDbkrQZn3EMuZKvu1i
u3dE4OdtTW9JEgMiagAZmhHdrpW86FsJzw2gztCqNgeCCUDC2LIYx8RAVRDvUE4eMd68DmS8AkVy
gEqcnAfaT5uAQ08a/C9VOu2oS1u46f3d7LVjHo7+18hFFY0jtFc+uU2JYzOTlGE2tdMTmePPGQTT
tjXDPfXaL7FL3c2CUSJTTrzgkR2fAzWoonGHgnZgp1rIKMXInS0Djggpb9qZDkN8UPo6E4oe6yU2
TRGWvMoWE7ZOUc7B69Brx962aEf1FmeboYDihOQPamzJAGvODaoiHbyMc5NuB3danTRLNzAq43y0
/kaHzIBVbW9Ua2WWsj6nHEicIu2HjONvJazirGySMPPlpddfPMHjrLQG2lcKmMex/D6eXZCU1Htt
ewFPDuzRBnK7zgXXp6gU4jgS9j56dTsVrK852YRWu1UW0cC7Hbuqy1gdh4Wx3QOp9aaLlc3E3JFi
JsEzC/gjbWKQrsvMz6AjbI5hcsPi9NqvBgC5/CJcsaNTve3T+DiH5TMkZ6AXnW8PHGiOYgE5uKrD
KYKfG9MGwJ0StScj/eLn+H6ecAg3R93E1WbArw9Dc+mspx69LhPy0Ce93tIBbWgaxaeANrLLpBmb
x04ActtMfRSBBTTJ1eLZWyKWLiORGEHP8mQzDeS+0va2HDEwLpN/PVYpRDNvP4roNmzjQ9kvu06r
PQA5UWhZPciEXs8pHMbZW11fnQdoR4QZsroNIRzS9imMOeAZSNImeaTOAhp3EvtZVQ8DW86Tae4n
qp4b6e7dGbBb29dDHo3hhF7F383ahFsYXt52ju0Z5Bc54ZK3mVLtt3YGtDjhe3NsFW58H7Rs5GEe
XeKdv4Sv3gQZiJEyk6q/WqryjkJ0PNhQVmffCe4bZd6ZA/RGPEzKdfN0TG+rui0GjEtsWI5T5D6S
tDVFy9udaKZ9Y0EHcd+/akT3SlXVwI2PtoO0MWjboaiHqgEzEy24Q81bWrp8Q6gplmi5GKKva5I8
QV04ceHgyJkLvBT33R9IVJCyvV+q+tq4wdM4mZVOfexH4m6IZ7cjJum86ZxLSdJdS9lFNTLJ6pS9
6zKgG9+U5xSDX+br/tT3+Gs46YxUMjMTPSSVOmvJTviby2aeff8IrVKCxDS9t3WRlQNyA8HyrgY2
4WVOVL20jbdhIWDVKSSfiyP2XaNfRGq2JtUbm+Bb8JNXmbArqmA2cysL31W5lP5+qoZnG0Mz9qiF
bBhE58RTd4k79gXaKNCqk//cqOlg4Mr0ji4zngS3flsd4Gjcegytl130VagN/LqQ7Uo2JYd0GvZ1
F8PQ7p5arztXRHyJ2UAyaHN3sg4Kb+ivagZPi6injgb3U4NrQQf9NaB41Mh01Wjveu6pOlTWVVnb
6H3vjacx9e5wkxy5AqZYT/Iao90WsJzGXaWf0YYUSx30Wy0IpjZzclL35PhkAFblHAILun4KtnIa
D3Qxe4PmMl2685zKneyXW6k7mcV0vPL96TQPuGUTCjpc9F+ghb52oNuDMTzIKfgmguFY8+jg+vWj
Fs19mIgHLEDuszAqgfTXh1gn7x2Blk4V+nY4CKU3na1kGAQ8PGGuuap5d2oW9jr3/n3aV34GpRgQ
xIi2B3xvoJsthOvrkPJTEyef/1/G0X+33mRdKv+/DZp/78Fjfbz93pj8+LA/GhPsWVr3lQNH+tlj
/DJj+jE8eOL7yJl8D438ZJiQPsO5hD4CQ2gAz/+XzgR7IfCKbFCPeAnnikX9NYZpfY/jn0w4zJgY
VzH7xtC2EWr5bcZMZrAhKqnVddvI4Zj0aXA1sfmUsB4NgpoekfkogEJ2e8bjfvlWczE6t8qCrh4X
wJnu3N+m9QACvLO3sgqOXFC+XYH6zF0sDOjOdXZNrwOQrPW26nR9gMtB8moAZQ4dqqrzVI9sS+Oh
V/e2Gl7SGsy9E8UQpiE1t/ngieCoZ2c5hiCOMAXbtblWfVfYtd0G0/5ZpWjAm7UVt8B+strt0kO/
NurD2rJ7a/Oe/Gjj74fvfX2ytvjD2uzrCaxRvA4AfB0F+nUoQMYHuhSqZ/d9YKjcPFxHiBCzRLIO
FXodL3SP3IezjhxiHT4mIy7uOo5IzCUT5hOLOaUmtvAwt5CgOpl1kJHrSNNAc8taTDlGCbVh6+BT
lY7c4ItVn6Xh0atdWl1ux3CsM5hv8EVq4e7TSd3VnX+fgKFSB+DfjrxtXDbucZLlbKyj/Rhawe4j
SdIpq1UZ68yPy2DnuwYIbliGn0B8zKGxXO0U67pioezGtuISofqgkbiMxDsl0tlyYY4OjQq+QNNa
h/t2ycNm+DDMu2tk+vKf4oEJJCRrXvBfq1Tb6Ztg/Pfa8eOjftYON/kb1jSGSYIFArFPAjy7f9QO
rFwF5ADCEXscf/BA/1078N/AH1wf8tWfoZ8QZQWIEPLp/5h5/spUg9jb77VjFbowdSEKE6Zh6P9m
4He0h7Ehy/hSzuJYyVGzK2k8G+Ut1cMA/6dRyy4xQsDNoxUGlHR9InjKhvok2/pl9sU9DCxb1IIh
ViLVDpN90S0VigdhHnqjHqGwtH3HbxvZKBYiNeWgO2XQljG+yTzqnRe4JXeMYk5S3O1uZTzU913X
gLSbMxaXCh2GyCrSOJeuZInJRj1ukKCrXpAwqW/Ksm6im7q38U3IElFDhy+RF4tUj6ELmD5hDxFc
1G05pbXZiNktJSx5UTePKgCduIF9+tR5ae0jd8X3Td22du+h2YDddjQqvAsrIOVlzB7J0j+oAPAi
r4evHvD+LKoVRCfU0AnYO0TK93q1HSYnuETKe4rm+VHVTQgP2jk7yOw4NEAmo0FdDUCYF4k1biYY
yGc3qJ+80k9yGnWvXhXeo6e7BtwXFtZpPvAm7wc0aN9I0DYbQfFLCRN5G/vdkAEAGJEqMg6SQ0P3
an34JGhK9mRJDQZLSGG0Tx7G3vW2nAHbZ7C0kVLz9rWEF4mQS0FNc/Br5IBCWscZDKclE6RjGwyX
cEeJPfqDd1t6iuaLX0NsCbw976ybe0mHKJedvQMGKXiUinwQnhaJEghJlWGJGQojEUvfqpqfsPXu
JPx0BXhATPpLeh+XAEcBMm3n0vkI02Xbk/kwlMMFfCtMjnIqhgkAI2WrdFQOn5I7UxY1yLuA6fxq
6nSGgsWecUvLzEt1vI8CiYwGC28Dd1wzc/wiMZ1mwVLewP++DSuO1EftIvzlIDfZo7Ml8xTmbahF
jvutqEP+rFoPmbBKHiWuoBRqi+rd7OYQvHpERr5ZWHCg2l7PY/jkCnlJZfPQSrA3DRGPtKrvVjus
GIjauVXkHNpI+jClpjsblw/EkNtlVHhEXMh8OFkwNjWNLdypvFHlsreg2CF/Ol+n0akLEgzdzoYl
Epdu2uOUwQlehQJyKAkKuH/LkQ/xdQsDd8sTpOsGxfyc6l5mY2DOYed+4BQ8NgoRP+yovYraASop
iU84N9wdSeHo2GrMXTwAReC2b0hSmK1N5XU6Bc/aqUmOR11nraVRXiv/k1q0rN3A79Qy5FLF+2U9
1+J4BSUYX3LZYSg3C9s7Ae7OshoMdOLmW2+9Zafi+Dk04b3n4gpr3jV5P3mHBOW38JPkXGvHy6Jg
hAlLg2Brxva6qaIicro72iPyWOPeNjVyfKbtNg1Nb7yKjduol2JnBuMX44SU2MiiB+OuucCJfJZe
8Er8/ivq+2E0PkEKCDG20vG+IfXyKFoIM5TSR2qkt/FSNCwWIbQmoi/cBqcQgdlQZ7Dz0bHEwRxh
qEmGGPoMsWCVxnffoM3wwhFPOcJ3KhyvImeWkFQQtNTL++R7L2OS+vuUsDkb0vhmUZoViayTIpii
CD+qzxBftV9LW4oDiSXIZtnnoM96ZG64BeSIEZHW/iviI/eSwp028KS24KtMAd+5LdphYDlryEWr
gW+60P+mF5sWCD1dta2nC13yeN91DPqTEyC3C24ko8T4mOLMV0fjSXahUu1JacJLM4cNtJhxLhLH
qwvfG+8Mi8TRJrHcuHBGu4bNuE7NVla+LZqwtYVt6+EK8b2DpeUrZfNcUAezK7S7KgNQ1efD1H6N
YhZnQ9kum5CV2yrw7T5imLH4EGw7BGqKOo76bZIsNEM9XHYIhr1OSQhr39lVptzhrUT1be2APQl5
k2ZWGETMJE23s8MQ5wxteRsxb9jGo3sA2HCGk1BtJW2TnRh1VRgws3mprT3WSn10I0ECEH7o0UMC
JA+HBRL1XLF9zdjyZTEU18ZYZxuuSVuH4bpW4AeyUOoDDHFw6G6yQLyHJ9unxzJdTk6zUBABw7Qt
u+UWRmYBSOU+gX5wXsQIW1whB6S0vRlU/cC8xeJAdPvt4E9NpmpnAksov0YjhBWKiWM3JxK2qgsj
JvHQkbp9fSMb74aVoPk73ujdMCwnX5bnsveLblxuNMyBjd+OBIkXEwEtmS5p2H5NGH3vRQnxPE7L
LAKxW/ROeOR+YjeQy3VeLYgoEGIeIUa98c656afmvqscnq9rZjft5EbZFAzf+iX+rCjBWOwHopia
AJ+y8ZDN7MnLAJAH8Z3mUqaKb7F0QRdmnBBbK7sTSyjZt3NbPY51XzSmfIlgJWceHl1wQp8TlS+h
72RhLS+Dxq0cSPq1DL10A0SlA1jSPyqeNIjlNgh0Os7tQgZSOH1z5cKMgXrYnXoYSXmAMzV0NAqY
636bE7GPVXlOSkt3pLFHpDTSYuwQfwrZE7XTZWaIX0UWWNYEggYX9DgK9xT29MMZkk8zO4g/GX4A
9oacXfstcfRWKC53AkiNGPCnhjuPpCXg7U60RcBLxYdBdAhwtO/w4fNBw6drp/igmnK9a5IKgcDp
uAiz7QH0ZA0FpNwO4jQvuJ8bjP1bzwu++UiRZ14Y3zdthb+MAq4pYl1Tj30AhCMUgcduh87tFR3Y
oZkxkaHTgQIaHZeQ01wNzXU0IkmdmifXxycfZg5vrz11Jqp3PpVfgyp9qhADRUBlvBBE2NcmxvVx
4KWs2oU1pGibIG/SNV8mYxBYEcgjOsN4MzTpGYNZWvgIxCkHaeQYwRi4WXSn+LwU2ms3EVReqGdD
ksFhqrZNiUeHLT6KxWTvqR7xoyVMb2r0nYjuNvDO/LV7mA6xXx+NbT9rN2y2lUmurdvu+LITaQcR
bTdZVrjzOXG6h7rX3WpO0Zwk4a5tNTLEEA4x5L37idlGpnpPouYceGpCy0FqXKzxjXOIKbNnwIYM
RE8nPD4PlZ3BX8nk0R1i5DXg/4lpk+z9qt97vD9o2RVl4g+3LJrWsDJrIrNpgtB1nmrNOclnGHXT
sfshbDffVW7+XfEGTP7KEIFzimAVxKvv2jgCsEcOiRALHSCcEyjoS1pBgoOm7sTtULBVZm8CXgS0
U0Wp+XOZuAiCJHoEI165gFdagLzsHqobJlM/+ATa/oQIdJhRNF5O2cgt3uNwqOPgDdP0zdwAzavj
ocvrRlLA+nhCui6AC2q0u4rjM44TjKsdwcEmcKTh+q3XDr25Si2syPo8Ti7SzkNQzDK+aIk8uYrP
q6OdMdG+uaktRBqcIQagu+HDO84Wi8Dvum8i+SKaJjhKBLMXUIC7pSVRZnWyD7S6GRGHRJMH0haj
RIa+xhRRyT4mQ/c+Zt88JHzZQog+ByNQ2E5jHQmii9C3zB5195wafxfbEIddKMReaTzRrYcvGE51
3gW9gGam0d4siPQNLWgjdLup2712Y4PlFtfdAKc5hBcywxWfhJ+lib44sByhBstrGrYfyPl1WeXa
3NjmwityCVO77Zm+BN51JClg3bGYJqc6asKfgFceZN28yFh+GVIOXXshG0AucxTfz5XI0fde7Oi9
NgPGfOGgMtLqsNh4ObSqf8U3+KVunKiI0QtuajnAy6XOa0C5fqILAvZ8bE8zALACcWBA0XS5Mtp6
+Ri5z4Mmb3Pb3RrD3rohmXItJO6E9KUPOVCX+omCsf7Bdf/HqSQA8P/1QP93pIXZt/9hoMdH/THQ
4z0byKXinTlYCLOKfn8a6EmMaE8YBt+zOn8CTlJQkT7W20AKQMQGY/hPmxICgRclMfaE4I3EkAr/
Wornn1h3LLzxkNfwAYDj+3R/DzRWU2xayPr9teOOL1UjAeOp/t214aF3KctaGBpiUhuYmBnR4AX8
6pza8WISCoDRABShzUgzVWHRS6y8bRWSLQ6qewPtfZPEXOW6smciyyJyOKqqKx+bBGG83l0XcYw9
ms5p33fijUZzlSk3+Cg9JOEGh1aIBc+nOdEfnXLHPMFwWUBW3URWh5lr2bIhysG8QsPVTVEyj1Wq
8sCSKJec2S3j9saDB1t4VX9Sc+hjhpHPPij+AkDeByfRERwOzMuZoYHTokNmDvHiGqEHWHU3S+o+
6RJuVZug16hrx2R9jCm4jdomXyq4kzjHyiwuD34ltzbGxpMRSBw82vlxqasrGbMTBtRTjZ8p47aZ
Mup5d6bpCl1VdNMx76p0vYfS9hLCooI4kMIylUIjJdBh20eAnpv6tsnLZHhKwsnJI2IrVSHjNzbV
vfTa4RUc6qNdAnOSK73jY8bpsZsna8fpda4AG7JuRwc0fIEKOXa7QGRVfullCP9d1ZX36I8oc6ox
1w6SSpuuU0vhhUu1WVJwntWUOjuHqzvfqT+wVYPD2EWTAZL1xKM3Ob8B990GQ/QmrM93aiK7XokK
BqKh/DF1a3bfk37ovjXV8mHm+m7xCfROjCDY8vN9KQESkZcS9/cBi0DIfpYev/amMr0OaImBIi3z
IIVUauJoL6d1JcP37QdBai9+u8DbbNbtCEgLPBlminjdneBjiQIIQmRdvy9WmL4vWfiPcPlduFzf
Tv+v69z3V5n/c5n7/kr7t38sysLm2mB9UTqAh1WCxOf7Q7f0/0Y8BKahG6aI/qxp75+65VrLYEAg
sYdXf4IyhhPxs8zFf/u+6DrF2A2UAwu2/opuCT75d90SmUigIGtOcQ31/J5WTGKkziOHLNc+rR9H
v5fIvVoIXMM4Fu5Ct8kY7Vx09aF1cj2nj5TDxyRq5gVNo4c2Ca58Lg+0bTejTkoE6mKIVZtmhZuw
E8TdcPBOlcOmgzRNhem6b513BDIomli00PUpLjXFyobVj476uN0LCXGOqhYrnNjgo7WK7k2HWptA
L0pD9PQz84uhhjk/zvzBWueRh+yLz0OVEW/poVyYQ+TY67pJjm7sFxAgvk6QMcMOaEQFg3RovRvs
Gnn0tGAFskxuVsruSg9Tl6uSfdppaZFsdrdlEFcFvHJ/E3rzNXjlt7Fv5yLUvioQ//1AQGcpJCkx
BczJpiISAwyvXeArUVwO6Lftwcwc221MdXIVtnOgSigX62DAahAX2ShNkf5zPX1COOKpJumLE8Ro
qXsffJjYyJA+dg0CS1O7fJFYkaSVO1zc0mzowD894sKuae5S7JqAB0PPQ0VhiFqgDOrkcP1JphCn
gmNjbATyFZABrTMHeTJAjR2YBWfI/Rp5FIvutfSIwixfJ9eeHWy+2LHLtUS5rLnJ5Rpl5y0kZ0qs
gwwByHo2Dy6Kbvy1ttWR+a7dybIl4DzcnCXeIY38vVLTddlPDJG/xl7V4zQOGYsiRXcy7HFsYGg8
+HLKhQjB/APo8LmHJSxMbwPgch1k1K6foTqquWjZ/FZFHIIlxhPer+7UbCBlYdFX7TtvZKrafNJQ
CN3Oz12RfrNdl1whX6k3CYH26Kk6OvfGx6ofNt3XogwunoT163oV+sU4bYtlArahZ5znEVYd9Tou
EkrdHXMwIPS4/wEXJLvYCQ7OKB5JGGKNnPdotHTzqhakkMJzL1B32/PAcJJXiAdv6pAuWakhnLJ5
TZtg8w78OJdchtn3bhsPylLT6V0aDHtrqiPFbqJsHr23xI/ComO2ucZqXejCYbC1Cd0qKUzhIgyV
h4a9W8G3nm6eeYXUSSqRqqpxPdve9tdBgDF5/j+FV+Gw/uKL/tizh5wNcpXY95cmboQ//yVFOvgz
9hPA7r/uKZLKH2gdDD38UjeBA6zL/X5d5vc/fAm8tTzCi5dQIyGSrPbKL1/CDtUs2iYKrjvxrrob
Ozyw9PyfM+qHuYbT4V+fUX+nbx98+udDiuCjfvbi2OaIhhtvkcYeIwA26wX+45BycUjFAYyt3335
5G+ACAmW//7gu9eNJD/PKLzWGMYadn3/AxmP/8oZhZPvT/cfEvUr+U2QZI6x/iQJ17c0/Xpz8AFr
7KBUimvS+w8ojveeCE80ELfdjB1nRgf1sSKZoW6wb61tAeB15bbU2O0nZ1ViadUwYjWUUQVyWnck
wEKceliV8EBGmVjcW0lGpLFTfC4GHgsrwwb3kFaTBz68v59ihn1VjCcgSOYrZyQ8w3IhLN1ZtJM7
gNSKWMYtyobnYEWUgULE6APOgPAq1gs7t54HOioCw1uVaAO9Pt4FAp56olFdo7oG/jexh5qtu8Mc
OmRkEodxCLdlIquN6BDmigP6DZHfR8Qlnaz3wj33nXssm8DBNYqrZU1GLSE2TqUA2sdQgRHnZoMD
t3XPbuV/6Ppt8lHHqz3nJRRdrRB/XtS6LKvrcR7PkIuwE2kz2PbNLChgs5w+lDRHV8J+SAl+oEmX
BzElN3aV6rGYzlnOSrrHOUhewzY6cNIGWWpDUqRxeJ6q6aahM3Ym6gSLD2b3uoumHraj2rgJwSXx
Y5HJqhKHeApwapT0zqtMcJs69VcIRLeCJchA9X6fNy6OU2/kXiZi7W79COPWUHIJpxGHUtkZN5tI
cvaa+mBVE2TQM4o2YXdzh91bZFHuZvSR2k4ECI0oRZwWZ9a4qUap7ytJ/BxQ2BM02xY66bCDtH0U
XfwQpMub61RsRy3oQLTmra5TOBU1lrkgRpkNKNkQpbw8kiN2juJnWaZxl/pAWbvSZeRmCCS7T8oR
X3jCDsKOXy/B9LXh6KE87dzgBn9LecNxrlfsWHfuM1ZUXU2IgRZOEmCvgfG/zUZ907G1WyEhuI0i
KbGXLXyneEQh3npQbYBxbBuj7kOvEieakKNu25dhSU/L6AJQAFTI4ZWO1g5wIRMC16F0M96Bs4Xu
e5HtgsdHP9RV+T7WcbJnPrKwrUPvYfhiCaWnnkY/PnSjrPZJyI/AJHqMahG6QcEOURV+mWpSH8HQ
RVnXLvf4nOaMlTga0TjON7KKJhgriEHqCXlWN10v3uxDEYzKqHDL4EnwFvLLgsyDEIwdhafmfHaw
gaa2zZj1Al3oMgv+XJFyXatWTzctmujM+GMxM+tuE0UfIfG3WSVrJM9a2L8efElExtim7FuFFFzX
4GmX3kE0WCHE26guJk8dyJKQw5gAInPLfhfhe8nGyLcZyqLEwlZxg+UyC0Qktg/kuG8hNLV8kdDL
JOCbHksulzCQOVKSc2aDOi7SShQycJFzxb84QXjTIhPChf7izu0pnBQ8A3tJg+lexxpdmKC72ikB
ydJyyVjnXvSsvjRoYLEisb6hgbrtKvOYdPOVoMszWhXMhNjSkVHePiLJfgxmsrdCgC1dt5kpRjLC
IX6n/XzuxLiJycS31CYi86b5qpzQSTLbb2bjbmJvOHpKMThA6jMI/4u9M1lu3Ni26BfBAST6KUCw
kShRVFNqJgiVSkLf9/j6t1K+9q0qNzf8xg6PHCoJBAlmnjxn77XDlyTSTuACrqEb3OAfoY8wdl/D
0GRCka1PecwJmGGiE2DlfOkKG4vXQte8F/V9FRuXs8LIbMx5asBZLNkXfUjNfWJYpb5zEX4HcYUR
20yqzb9b+K9bOPXOX2/h3tD3f9ZN45d+38HZppHBQUFRdSGE9f0OLvgRG6fLfzroEfbp35g46i9s
3mj73f86u37bwl1I3596OLQsNmdT4x9t4dJz8F0JKbdw6dxiWkgiBCB5+fq+38LHeu7wtcf6qZsN
lS/3eJgWgxNmCgeytRqGEYLWfr882gLpWRcZb60O1Zhna2NK62o6o97qW7QyU6V6EKuulFRtPQd4
5mbuxuu5tboNvOLKr6rh6+KWz3ESBfipbzMj3ZVLfyF0cdvU7PFps+DDqkWHrk0ckcuYXqTYD13m
Vn7uFj2m0vABT9kjbEZ8SdU6+9ZcnMxIP2mTFbgQyuy8OWTAlA8rCgt/yITjj/G8g64TCKf+QN53
O0yReVGC1aM7/tVJ6PN365cZQaCXCQ6/Ou50ZthFudHr0Fdn+oGoJ75M2vCSzaPhx1m8F0NVMkwC
4MUYG2It662f1Pp1VjQXeWYwiG7bj2aMORMrFStm7pwScMwwaZsTeoz6Yi7QcjBMi/DxcIDK4jby
XTUKrzurUjdsObT8G2P9cMSYXY+G/bYmvLl1WMRngc/Ui7v2PUZCd5Uy3TFdhUVA1MsuLjvn1HHM
CGx74lMbYuhfUR/5WcHJjG0t9liSrR12MpwBLTZdY7ajsxrpGrDTNPKaKMkpogBeQpWomOvpUaAu
ebrX9TnHq5XANIslL2aFfmLNuJNZ5jA5hxojrYWGmtElHBTrcGtMQGwZh4pdX+lFUOrpERng5dqn
p6zUDv0SrZukcD7CNbW81C6MQOkSmgIDvGcttJcdHqY8UNPY4Y3QFnSHjbvrUyxR6dwOO1cgei+i
FgAM7vpbmm7ObqjNOGBcm+5VNQw345hDMtV15YwAzPCKlTttZgQKiaVaWydSej9dJsdbqqgOFDz7
mHCz5IJJzLSLRHy/iO5mGNQyiBVn8aq+/lrlmAuT2IIT0bjGRe2yFDNdgXO0yreI+fHL1JnpQwmg
wOvQvO+XAaiTmJkcMrPVTiYuPS+u15CjIFoCvVWGvTPRGowngyLYHpJvGT4MtIzMUMaoUPZqj7nC
zCW8jl0Wq7JXuDCSQVoUHkUJ1rZ0cjYtHhrfGlPrvGrzOZ2HW2sqsqATKcaZXOTXIE76PS74j75c
v/baGG/7Gn157uZIznE0+zpDs7xtLIjcKPQtxR530K6NW6EMX+Dv9eCY+2EOd7GYobknQ/028ars
VYEbF6dANJ242SnJcq8pk7ad8RL66uhelIWwgmlaNNDgA2rXbvFqoDgQPaIgKUvlQjHUfaLrD6Nk
x6GzvS+AydlpeTPZna8o9lVnvoQg54bKGp8oi98nYHSzpNKVkk/nSFLd8Mmsk/S6RHLsokw9Cq4W
o98bR2aL0B98bc2vEChp3ujaX1ZJxUvS1aF5XXzrbIg+AD8OFQg9WnFHLJHQZqRdspScvSyR3PMx
xkvJpNHDw2ID5CoOpST02Z1ubhdJ7dOa4jQo0V0Ozk8F6weAkFVQrceNDfIvAf03Z7hYOkkDHLsq
Qu+iYdnTIR5BDBzTjvOEpAjm4AQ7Z3ocLMp2ehs37iwxoJI7iKmXfylZhIOkEtbgCYdU3WMUL304
7NtUEgzpO0B5lFRDZXY3MGPfO8k7NMdkA6vFekZeW0C4BotYiv6tApNYDuYT/nDzkABQTNv1K7Yi
2C3VvOem821MF8ortHWTW/Z1DIYxljxGAZgxc3GajpW2VxqLbgmGHMlwVJLpTHjAMRcdlXySf+0d
d2+X+rUG/lExGtQvMWpDActW4//N19hJEr9Lho8usYEJTn0wVsuhL4w4GOzcV4zsDGdDYS9AJ6kv
l3GfnwtX2WhJfJ8DDoutEn0EYO2hSO7zpPeBHLTQyzusFQtkYThC9GdoOc1w3ITPKfc9HMrFYx9T
ll3niM7hXJTlfmSVt2rStsG/tdFnbSQF/39dG12xpry378sfGxzy934vj1Q6Ejr1DzYGeu4Gvsfv
Ghw4ywmew91l/uqW/K0LjyWS6gh0HgudzV/7rTYyf6Gb79L9wGFpgTo1/0ltZJt/aMHjNID7BZGD
9pfGtODH2qioc6NaqJ6uC30dt7UaguRW7WfbiYLKHh5Fbz2gjgoXvGSNFojGOQ999IDhDHYzWmm/
NrJNUy5X1jGNlDd9yh4KgB0bqNfpDr7JV6uHsEWb8VAXbFpRKWWO1dZEMenHrOY+zeQXpRzrr1pf
Ii0O8ylIjSTcrnG6nxI4qWHUXpRyOJ7KKTnT8pKp+ar0SB0Yo09J87owV0f5+4o57GmWA3ern6+g
XUsuGcP4mqn8MDA4QJMwPmLVfsFgkVyWtRZiuDMxezHXz5jvq3LQbzDxD+Xo33LW/YoWAPP1NfuR
v6ARwLmZoRhopHTATKcHhMHPuKs5k1ePnRQZcNLZuB36JAQIWop7OV+uZ4QJ0L9woKFUgLjzrUK6
AO6i4fQ3XbucuekBiINRbVNEr5gufCHuouaqBZrdZ8/4HRuPl7jrpEiCjW2TS9lET8PBz6SUIjRQ
VUlxxWhBCMJwuEtD5WhJAUYlpRhhMgRTld6C7ThaUqxhSNkGVNN9U+XfWino6EWHNZBpYSvFHoRk
3OArg06LDESVgpC41N97KRHJ0YqEaEY6M1o9126/qlJOAuTpGIMrq9CZzFboeg7KkwkFSl671wWK
FCs15bg1PU5RjNrU3tiQ8bxeylhyKWgppbQlWhG5WFLuQn3JQVxKYBIphkmkLGaRApm+WG/c3n41
a+UQyQ750GHCZNLgCVyTTCWRAVMOWPhpF7TPvtGkt6W02sZ8cgreWxMPbiPNuJxnnGOjaIfcqa5q
/LoMgr7EXfe1lkZeTVp6V2nuraTNd5GG3wzn7ygtwCNe4EGagldpD07wCYfSMJyN876QFuI2Qhy6
LrBPoLvqbBf43Z0PPg8YPPXJwGCaYQQztRyBLhT/enSEt2AWSzGN5Vpy2WMiq6SbbMVWBjP+qGIz
E9JvlmM8czCgpV10cONox2At9ywsahNWtXpQOM1bB7WsLgasbJVlHTI1OilY3EqsblaGpjFfp6OB
CU4fqqtBuuLqbD7nMN/nEA3WYKHon/YoYw4adjq4s/smor1Jteu1i35ZY7ybMODBqoNLvELJYnY/
SY9eZ6xbuIGnWrr3Fmx8LXY+rCqXeBX3RsaZZ5GOvxTrn4EqP0L3XGIJ7KQ30InEXVd1j0iCL8M5
vaKi38TRcluquYr7Nn7McpCDU/IYYTtEAr4vrMTBMlruLOlMTOz+SpdeRUiUZwPzomGJcyHdjJHa
IHxuD6OrPqnS7wgJKt+4WCABK0NIYAKzSndkuRZPA3ZJe6DgwD4p5hV1OYZKPbdeVgyWkzIFAOa3
OcbLknlNJ42YHXIwDgvB2oVPyadZk1IR46ZI8HDmn3ZORzo7F+nxRFu7Bq2VXyIiOxpudpilH1TB
2gSp8GRgFA2lYzStoqtJekhhfX0dpatUafNrBZtpU7nX9LNS35nmbSGdqAmW1EQbjlBIHnXMqJq0
rMqPUMfEWmNmrej4Mse51CLlccbsSkbRtZrN8O3tKmixwwrpi02kQxag4qaRntlWQ70rXbSNU7zU
2GoXzqRej9E2w3CblTB3Oiy4tqUivxwRYKQbUk3O4OUwExj3dgRNP1m/prl9t0pPbyndvRz6buuC
Q7Ocs4Y4EgyMwFpt7WyMwYaOQzjtLSMAgSX22Ux+iojeM+kntqWzeMFiDKUJc6xGZ1rFfmxLHzIP
Re0L6U22InXfYVbuMC03mJcXTMwhZmbiH9AyY28up2THPaMgzB/7Jh7Bfd1wDtqk+KJFKtMkinln
GtVpwjmdSAu1Y417BU91vzoHQgvOa65hpnV5a7STIk3YMW5setl3YD6dQOXUt3GgQnujNp1r3brq
Pt3cmNhxdg/S5G1++r1DnN+iDBlnSjN43Fhe0ay2lzgj3871CDKFXnHLLdE6hXu27OyodG+cwnS8
oh/LYFVoUAqUJihjoGugAv86coKk85Vu2WEQEBJYv6lFTj8TSconk1FJNjO4RJKX3PEiBWaOhG/5
KGn0m3yLvWzB8KOjGcaXwSTZzPPHsYrERl2sdgMLF+BK3NmKV4C48dsiOk505k9lo/VPqWbj6yAk
QNkOzmSeu6lcL6D21/QGcgMF8FgYWlBPa76BZXWc9PZirJMbPCdbY05pCq5fiia8jZr2cmjAGgL4
8EXuIC/Rmid07alvR1PQYubzxmzeDQbBV3rffx3Twdcy5xmawdU4LWwyCck/47YHl5Do3X2tokly
7PiVlfWLqrf7cIpPqjm/h6l+Way8TW6cBDxIFawQ/alezUuUKleU8bpvAcxMyesCPXgxDmzR7TI4
G6sNT6mKDjurbvsuI0iiWA91ZB3NOdlr7cp5rD4U7uSZlZoBB2bYbqX62Z2Kux6tAqX+sinK8r7M
CakolOxSTaaDStwOSjKfUgibfnOgl7lTsvgQ2c1lVPePeAwu81K7gD3vubqzzZz6TUrx0yw6zyGV
wmLWwRrGAd4QCBL9exG7R6Us/Y6Hbp6Hy8HN3yxdjTgRlIxJkttWKn5F4rtGunh6Ye3jWb3rJCao
L/HTgFpAmovQiHl/iPzelXP1we22farti0E8jY5BfBHMZfwVvm7DuAl5HhMMqqzu2VMOnS7STIzm
cBvcbKCZG+UHpU6/uG640531hslF7GW9do9naqun9WOlWepGL4jmUMbkW9hWNPHTaQj6WL+eTPU6
jPQXIomsIElrieDZpW5ycIECbaMovByz9b1ezGvO+bLPnAPIFDwsUTWZ/uTYE7VUrQXhYjmnSqsu
SmMIqtwBydSr59xQjnnP2F2J9G0HM8YL0VJ7bacW+3ixns0pXe5cVhro+fNxJjtjo0zV42yu51qx
noVIQ3KumieVwYOnWsM268bcLzvu2gkRj8qlp3Eijo5uvI/aXBoWsiu6W1uU+utJEe1lTZYQrLxu
xv5SfIza3FEiNiUOE3B6GaaisbmLkhl87VocJlsQ6dIPx7WVu7ZpPM0aX7RUdaJNO7vA3RYDxHJy
nUHrM1KDIUO8dsc6bOVMXn9EbgfGtw3Pbpc/w5o39vLrbiGCgdTBbp61o/7sxP1dWRtnbZqTo6vj
eNHqQ1Sr99h1vLUyceFMwy5Sq41aZMcmUvEFGa0XmcUHmWrwRcBORbpzn/WMbXpE7KNFnTnNdGn6
p0Vrbt0ZF2tZ29epFl0Xdoq03lguUSl8aXL32Zj1Wwaw1aWpp2UwoLvYit54Xgv34HYE5SEEKXfl
yB9WGm1bAUvYQH4e92kO6qgra3bHyChU/Q5Et+AYgeyXPJJ8MQTjMd1SAqEl9OL87058/1s8IE3m
IMEEbWq8lzpTvB8PUCJR1VmIMjmlyKPL8qrD/OEad39/Edmh/lW38Bk2+J+LWJqBDEJHAClPcd8p
FLJwbnWl65KTuhyU8kpVYjQ+9/10//eX4ST6x8vYFr52IjXAn//UKA9V1eUUoFK4i4+pelD0/wVx
/uPfZ9KPxAKlBW/Xz+9V5y5ECFpFfionHrS9E77+49dvoyLgHeKNMhlH/Pg2RTZuG92kS+Vw7jBv
zP+oOP6SlM204m/fn58+a8PKtFhhKUUOuVNQ6Wvb1t4YiTe/k+f497fyJ5eSQwtEeAa2Xsy9P95K
7kTqykQ8O9HrRXvU0xovSCTz2YaV2vv7a8mX/dPT9cPHQrfh+6dL1RLwyVaeo1b1XRBvnLv6DWvq
Mm7//kJ/dlPff/4/3VRpp241OL9eiNwuevVzvGUfkVtx/T+eNfmif74pcIKqjlHPYSyFwPH7m9LN
UlRsvOWpwzWcv45zYIZvf387f/J1sb+7xM+P29qZ1EqmWp5K5zUNnw3l//E4S1kkRHYkmszCfrwF
zLtmb5AwckpZAXWbOe3/Y/FCjKZaOt0f1OYwLH54kwjPo763NGQC9utkXw+IrtX+f6xdf/ah8xDb
COp1qamX07nv1i43LuoSmHlxain8Ft9pPM08032t6g3SyL//RP7kWuQAMYMkbcPW6D/9eC001DTZ
sIydcDkzfE4qP2au0ngVNdbt56X+dVdIM8RftzzJSHkd39vX7o89T/mL3/U8VewTLnAUneamwYf+
e88TYgKQAjqiVHef2U+/jYQhepqg4VzQCDRMfzRYoDyW01uVbindSmgL/6TtScAKD8J/VwdGwo4u
585cCc0f4r+fHsoycpidjU51UtU82teMSuMIfX9LJtlgj7iJBtEd50FUO11d0RWQYVamBlNB3Jmt
jDfrADGhmzADF6+cH00WxZgRNz7dixU1yyQoMwlLs7FPUTnOxQ3MrsdYRqqNEDv9mZQ1YNhHYn32
TuUyZSSHrVnqxxD7qr82cMBkVJtdZeMeBsJFVKSYvwzzYpXIgsiwrwjdeohk6ltP/Js72dmmbBPU
ZO2rMI0S5nD0ZSxM0HVkU6CapRGYjeuVRb7cLIPmqDOeXJLnrHm8dEmim+z8XjGLq96ZahKO4oey
DZmvaHD2w+nSXo3bklMmvYRnQcodCUxbhGs2LpT6WNvVk6CDrMf4bWNz3o3QonCuGq99jhyklDF6
ClbkhOaiB6cmx144YzALmyVwnHIIxnFciFpghZhmpNmRvq9kXB9KpOspR7oSrZO2Awe6Ta0GgdVI
MZ1ppa+IlVg660309X02LFsgw2h5o/IGWN52iYtDImhehHZ3Yw32Q9yEgNmM5cmS7IZkIoUW4ULm
52WCzytZuk0pbKb8WIHn0ubYm1/MBBjGK6gopxcPVtxqMKpF6FuVe0pHW1znob2fneiuuabetlC1
ke9waS0AYUk63yb2iL+jgcfcr2nQk78In9l5ii0GvENTEtRcJTvcPOSXFtUbym2ykmXMJX12lL/Q
llU0BP0C4gxqTFGkX9tWf7dN8Y4IgfxQgh8lqRp2RES6yFgE6ZIbX3QT3h1JJ0zaiI6siJAkZviQ
EylpDvG2dSIkUSQDwNUDXycia9k5n+6P0hz6YBqVc1JP32BnTS3GPlqXKvqytSEC0UZxZigNbjY0
aK4ldU0Co2zp2PiuDWcvpGytaudXmPU0UTj1dkWgSsAQj67sdD1W+qj7sRTAMe1uaHFF86+MPrQ9
NtNLJHN9jkRCN/Nbl/Mn2DidYNv4ULrWMRw7jTxnpHd5lPK9sEGVOkglt7qU6FGgq1tFyvZU4NeX
C0q+EEWfLqV9PRo/R4r9ZM4Kll/uJe4n4N74xzuDUwuF1qmq+KakUjgIbRSLrXmMC1XFfIq40EJl
mJfWS4/qsKvOiWHQDUWQ6DhFeMCIej0ztPAQrV+4ovpmdDmqOeSMhVHUgU0O2kaZlWyDXR21qCm1
no0ZbeJV2SFKS1dIIcgk22OaHjqkk0nVkIwY8hiMRfi6SH2lWJqrUCouS6SXMye3kiKU8Xz8RYmy
d87ZwhNlxbNNe6xzsX5JJadLlAoE7/yeRJMPV8o9o5nnTpcK0KqMAmNeG0+pkZeNUVMeFTGbVxra
USXBZswQRZEZHjRp3DXczFJsOoRh5UctAtR4Gq/GNsMzLMWpuZvcxS1Ps2lE2oGDbsxBnU+c3ADS
d5b1XIU1mWgrVoeuGFcarMqt3rQDoga+WPHahJz9EcvCQYKwRtdvUzW9AcmQeTTS2oyYDfxRzbmQ
7RDUt2qo3odS3IXG/iKUci99XeeEQNC2TYEla+1T5prdFFhdaaV+N8jhzwg4qcepINAthiUYraSD
8hvFxr8q719h3SaF4V/XBPdD/tq+/7EgkL/1W0Gg2SBeqcZBrKH6ks6h3wsCDTMmVCXHRXkAFlbu
1f8dgiLYghcrY9UMCLH86Ps5qAsYnDLB0DVZYfyD3DTW358KAi4sywpeA+ZNx1V/OgNFYaNC7K+G
65VlmRDi4YUWOd2qrEerMuZEIuSPpsaaCqOakC6GRKY2dfCxx5uiqw6wGhSvQxGLCqShOEiwGKZX
DBQn1snkTlWzb6M6Zj72GFuWBwWDOsGYB5dmqBLdUnR0VWf1cVqtF9EZT24TLaQ6uAZnF7QJrgJc
B0kIxOUYnCMUbTuiZ5XQXDOd8qVeqoeREAckPATMhpb1pW16EivLx95VHsMSQYGFCUhPrsYsPvZV
8tJVDtAOyCZknLzlbuQEBTdGzZxYOyGYIGnVM2y2JTCIOuHPLhnh7NMebPXDIuo2iPppaxgrw5JU
n4A1oanCH/mN7rq5cXLr2PX5Pf3gzHeggJqZcwsA5FvTuTeJCepFNNLHJRfycJoI7RqfoBW9hX31
HDbi1FXlGyo+F21bGxFCOdn7DvBBVLuAnTqPGc9LLvoxqHOn3kxWlntTXb1NmnuVKYxvoEWQmSL0
Fa44rJGkGVsfFNeRzu1FY4THkozfNQH7sVTTFsfWReS6+0iYt8AuPxIjfbeL9l5Pol2or09FBCRE
tXmRfEguxiZvmpj6CZVyjK6tdbbG7gqQ0UfO0XYTKuquYoXyhzYlXEIVj0Zk3ho900T8qvdGJD4Q
boyHJZG/bg7D1tCHpwKJVFfFtce4H7fNgIpl6NOdZeXPlZFmW1EP1yKW3bcMrQitd9NTDUVmIm9V
mw2T2MFd08eVbEODy6z51BClTb5gtv2JumpWZ0vV0+3Crr5MQhR8a5HRN0zDBb7Aemvn5m4qze3Q
GMxMV7LtyC0h4byfwT6QIE7uJE+caU8KyUA8xEvHZ1iImhCOdr2roparls42CsctuVZ3q6NfAHnS
PVvkpddRd20ibA3MK7K3vpqfiJsAx2nVX1WNOXpZwdOf2HknNdmDMgdhqsR7tVTSjWJnpa+q1c5C
d0e4zuB3quLu+3iifz0679TER2cmY68GUR4QBYQ8nFa7ANYTRMX8UDXmBaAONgcyejxL7792MrFY
lYQUY63Xm2K2xKUBU2uDE9mNDvknQSzLpkemFO0YtJ+EMd4GaGOil+MIKzH1rfXJI0OPwzTY6GtO
saSvwizTnMK+UT5JZkuTxDd6M0fPCMmCLucR8ozYCK9rOtSMuwY5yPNUM9rHthvdxY2q+JFrzmd8
Fhdh1CR6QMmumx7tEljrDizgw2CrIZrJZO4ZdgJHKja4fH28xWeaajPZs6kunrKJ/t1VXtYD60we
a5vZst/UCDSvn1lLizOM+Ch3DUIOExRhibCje5W4ru5Z0PQPN7G+whBq1MIKXzIziY0rFR8i3g+O
QLX/7xH6UzVk/O0R+i7Gnvv6x+1S/tZv2yWJGHQxCcoRgiMx4ur/bpcC5y6oARfH1G974n+2S0P7
RaPTApzAAmaKIYM/+J/t0kCD5BAO6DIFV+Ggoij6B9ul+dna+uH8zLbMXwFWanIsJy7zx0aLkBev
8ya/UfHNUvsNnacZ0xfaiNGub5QTqUYt9qbkKsuxK7SLs2fJr0kH1wBUz857NSRX7MX3RgYnnIGf
s1l0F78IspLK0fckEWytnpy5WdtPxEsVTM28SSFoS9eeOxPgYMLmrM/gYubmNbbZavvh3ab4nFw9
6JWIYYlWXzWz8WYZ6i5aXLRFHZA36tthn9btvnXdyy5F5CTM7cpgTJH+Gs0cmSFVD/Y0Xk8iJhKv
NZJdvIrXvFW3QlWfYgY+WzsEZ1g3xbJrtZxtAc2rZ1jdhTn349YBL0Dw8N7VU4LJ0rtw7GsfDcAU
oEM/l1DUvc6pt2QnqSgZDPVSt3Gfrs5En6DEzKEU9snV8284i+rdIswM9BlrqbKE921efeQ1tlS1
nFCHdukVuTzVJolEFiChyqWzzPTtGQCZvTgBu+FFbPblJpryB/RCykXBeIlJzTlu0RSVjks6ssLg
1eyv3FJGCQ470c/nZE6UYFhR1Sy4+XGtfGgK2moakec5LgvPcNznNNVuF7hKXgOoDBSfXiCQ0u/X
InnOmIZPOfR4ENE2BziEJegc4Fx9SAXTPl1nINHJsARxx4lEC3UUZfFjnPL6owUZ5xoBo7M45wwW
hrCaaC1w4MN7lWYHpcs3U9R6xDKjSO41FLioSxN17ugmuKVXlfETBKnbuSXiqHKg4a46A6vIxrBd
ohntFzotE/JwRJa9u9GKzNhR83H8c2Rxx+feDV6mzY2nFvWzNiRHDOHHNmHqqESa4xP3mGwMUTKR
JWCMUa6OPaevqRSq65Lxa5PI0Gf4NB554NdqWj03aZNA4cVkjGRoM9OYsSZe6DTiIdfycd9o6o0Q
oDWIJd1nWnjZRsOBWdbDoIy7qivBSVcItmY0VQUEjqgbXeb9E6qHPFY3jjo+rU3y3mEJU9J5NyX1
gmcZPlhp0dpauCuAmhV6U4Ss452T5XRtLpr1uh+vQoUQPtU9RHN50szyRozhPjcZTQ6WC5YRvZ+U
DUjf81DFMChWfHQWozYe0IQeiBKD1nChgpb80ZJGk+9YovAnqUAp1PEjzvD2zYVuB6KWX1WstTNx
OFPlfNiotw+V0qQ+SdfuTivNQ6wxaV1RvrQcd3ViqEqSbRRljgJz1sGS2fG0dRVSeFsQH9Ec9xeQ
ytJtMRrfBnrk2yHOvtFfeMJb+Aa/KQ2qjh0/0qebZcAuibl39Jfe6gOWI7oQROExgGUm2l+y9iDq
dWBKJXPD6bws+oNZInfY6kNtmQ+jmjnOLjZaDQXCUvNdako8D/bckgIzRLMWOKUCWq0ZoS3sDZLy
6A7ohOhdIwZahjtXRRR2N7mtol8O81BdTiaI36d2NcR4yvp6D6pS84k2z4PKyIxtkjBBb1R8gG10
24X6CJdxvjCMcti2SjvvHMW6NO2Z9AbHMLwht96aquqYqhPkVqTGE8F1DspKWkaauloXesXDDOEp
Q0pPD2QxqxeAz69EKIhN76T0y1YU8248YsnHfmGUk4AtB7Kr7VtwdpjBlrrbQKdKt1mtXBlle1bC
Addf9TImEzh63Z9muhWdNqteVJtIA/X5Il4OpgqeCpLLa4JowpIhG72Q3gVLs72+n+5UAWikQ7GQ
Ls95LD5WTA0s/7CRx4KIv2QDZ1osM3g5BOFoQG+zmaUH3ogHq3AGrE+Wl5rl2D7n6nWK1kMM3B3d
y2z5Dfh1j4fx2rKzdYN3D4MHHDrBjglT0MSUMQ9Xq7pcUm+FPu9CjXabwXRXqf1Oh3mFqJXmoJvY
aCEWvkuhcg9dDJ/ro2g7OiNGSp2kgL5zMnfi4sTvuJm7B4kKX23OnY0ObgIJwlydirme6OJOx5oe
ouc4aM4izT4lU3kFv7Tw5zo8EQlHb6TbR0P/arnTEuCIuVtypQnWAnkPofVEZKbDQzgM3WaYyseK
1J9UyXiNw/o0NG6M+scyeAbIIzJVAfSn6t87131ggd6qdX7MihjCKn1VPa0emjHBxmDPMICwI076
DVbZW9esviZsdJ5mq9eG2l8C/wj9sTTCXbhqshnYorikTbv0QE+F6dLpzbKDay4OHaTSTx3R7Doz
mfzE6E5ZMoC5sLfI72lCa/s6ayD6DjhIl8Gg66cWI6opYu/cDFGHEvFTG70uKZ8j5ANF21kidg49
b6jfxflJpb4nd6+/GEqMIY3lXtjd/JCjDguWik2QJWsLzTHaYcxAM+Na5FfhPWn5pl1GmrixNIRK
SocRG6hNcVgFrpkRQ4+36E2IOlM/GEZyw4H9iwKlZktCVOmxyLHAmdN+hRBEoe7ciHZcUUTohJFW
8xsdt0dGzSfQv2+rob/NdCBR2D5VWQQbobY2vZ4cwqJ+Ukm50jFhTo641Mmn1QVnaTWX0bjTa1Tk
aCjEu5utF9GQ4G1hWOX26l0JTc0rFRPhIzrff8vuz7JbZUD7110q+BxD9ydlt/yt78pu2zWlDl58
Cu/pN/0+thII700if4B6G5+4/9+7VO4vEJH4EaAAE+bt90F0zi+S4sUgkqwYABYQeP5B2S0kYezH
sRW9MEp8jeqf0HmwCD+W3TOxbyzwIaSKtbaXw2pVhf51jMGKnki91IsCZ6IiEFZIU8kQ3y1GxLpg
sZyVYiCHLrQSxHlNFgxub2w6kxpUneRCNrN4DmP1qi0rpBgzeV0bhEmFTko9AsjLvIA03ITpTdq4
X5iW9UFddAS9OMRNOsuKwcnFAgkSLCTeJiP5TuEbTopHjtq0v2Ss7LKwJI+jZp0THeFuXoBTmTfl
uO6SBrrZqBZofdPqvGJBrqzqQJseNV9eYRCgmicHBkZJ0q6vbtqeLatR9wO2K7zH4kaofX41GGu1
JWO2hKWaUxF3zYceRq9DCoGsUOygX94ZLUHi5sw7Knq0ydGjzsJ4rMuIUwczr73REerN/K/2s1qj
YKkYByL+bX1tnC/1NUkD0a7vgxNuB+KINHfaaTZkx7radXoXtKRQY0VjtwavBRIGvTw+nAyIORQD
D1sptgX8BCbZ1EMUEgtg9zB4kntHmnryvN7TkAnmKr3Pcf30fXmuW/Uyxg1EqCXRqGZxHvlIB2kY
UuekLXe9ojlbx6ovNLP4WrJKIoQOjxjSjgQVl+T9haV1wUi1PbMz1+FL2uaRCDq9isqzsvZLTQYV
BqFIzdQnYg5ceLxj9ibobswx/bNEDG/EBW5J+ZI7GT8mmuedwU3npx3VaIHavV/ia6MMnYD55rKl
A/UxKRZMRWd5ptt636/zWRu1F72tL7AdPCdj6vqW2emBHRnfEjFfTGq0vORxwxGnrwmQRwDq/B97
57Uct7F20Vf5XwAuxG7gdnLgkMMcblCURCHnjKf/V1NHNiVbdvneF6fKp2xqRsNB9xf2XrtnmOTo
2N+d+poU152sXe2ik9XdFPHXIpsCo0DgXgG6ZwgSztjJnVUXEqbkJMJbt0yKdnBvjbiwySTm9mkJ
pMWCYK5SApKTwLO2jhaRdw7PsjQcQHVMB7Ui/ByA5F2m3TRv3EFVjFOwNbXmORqKXcFjA1wIFDRE
acx9zQxlAKWEQfjqONg+rAXtPPnaU01xLUokuDHwT8cPgzXiCwllAo8/efWmC1RPJhJ/CmpEp0Gg
mJXLrnIR7orkaxOin8/s177BnZjCF0im+JI++1iSa7hg6XjMh1QuQCr1y9hGqx1GId1HP2yrkRRW
NJMGFPX0NUcbOyPxzlJnrzfBs5VY5e2sCa7A0CWj3nTupRbejiBDdG94qkI72peht59H9PeBWx79
onkSGCGJPbjVcBGElnulec11qIu30p4vs0zJwfluzoIcwNLIO2CkwU3fYyQkG5h7bFvHoQedmU6H
p0e8NH2zD824u/FdBIcoRjeYdY+Ciez6v6vt/WpTWJpfX20KBVcWf3W5qZ/7frmxZ7Eg7ZB0I5AU
8Qh+uNz03yyWMt8ocWo49PvdxtpGt9HXf6DzfN/ASKZNeI0907WYBinb/7+424jZ+fluc21idCw0
Qha3GyCmH++2uNYSUzJ8vMr02fZPodk6L6OhUwg6dZ4H50IbkD90lXgRoT3UO08j3W4B+Xl4Jru4
efBCu7j1vMiZIXN3A0v9XLaPjcWlRIR2KtcijFnIR9rDaML4GoMZObNpJrgIBMvcfNsFxlXXi7sg
nVRH8UrSKx7a8UY0LqFleHbMNIvglEke/USsx95fwVU+hCKmHW+4pRiE06Lr02tS1f2yGjhHOxgp
NEeYcaeZMDxPuApOOypAubtwOoKtg7pe9IO/KzNxY/fOTYaXYpVY8svkj5ezWyPE7sG/5dVtaZkv
oRuj5feRaCPHQBlhzgR7RB5m3r7A+GQ7N7GQF9zLT2aWYDTK04usxkMbkgNY+Sa7+gb4kA0nZ0Eg
t7ss5+Smr8p7nPjlyapRLJCPgA5anXZ1RkL2YPfDgul2BDtnJAeM7clFXmTrWZZPkKUJ5zP0ctXp
9dvc1BOJ9Zjo3abbpU281b1sZySodCVS30nzlrbdcoiaJlcojv0QXxRvymA33bsQPHL+yQZKssi9
4iGno5decu3a4cot089GEt6JQkX3tLF9QTbFPiqVWoEyuXdkyD3J+iroxEVAMUYpaN8gtLiza9bH
gSO/iCI/zpN1U04uhYZOpEKeY3Iue0XgCcZjHhloLAeCSot8m0bauDCVZw+7ndJqPMSCyZPAhET+
bLQWJTpph6W1Nvj45nR3Y1eyv+wUeV5OjdvCX9+3iYATozioddJdzz3IOMcKL/OZ8NxKIzghnrp7
GJqffNL0dqhLOsao+ob77pGUqCfpB0sT7h+VF+tI9Tb0/kabXADi81WakCESmRvPP/NlLS7pWS9S
LznjOnuJoA1tclD1m3pEno/ZqN3r5XRsBV87w4kvCtRLboZ/DdP/oybREhCcTkoelIulVkcbFOSX
TpldEfVxtD1x7hske626lwNpbzSremERSdSGeZ/hcedikoeyF1eTMjLmAgKgR1ZAX8Fo9Js7N5af
yFY41aJ7M/3srmnlnqHyRdwnxl4nP4CCyWvwqvB7QAH0BVQqj9gcYAsb0w59t7jiL4/vcQifqpqM
X0PPrkzfOFfQ6Sov+aRp3L8FNZYMWQRmVnZuwc9f5FZ4lFmbP4aCECbodGTp6bSDWsoWw1F2Q9au
Yimz7HXwMZa0U3pt4ORKiY5YssOmQvPsnefOF2nenjoDnVBnPzO0fW0tIuQdXnQwr2OsJ6kPxRtH
JzuerW3ZO8bi4JF8alIQmsDSsdBMLJhsE9QHBy0jmPDgYTc7RkYNcGpMAKuOqP85IHJ4D2pv6XlV
uzNi97HLcvQpBcH0rH3ihkEiE4qs4d0HeYGzdbTN8zjZBw1CxGXIg7Xkd+5c5fhTcMPX/HJaOT7O
VR7c1IaRHmM7dkjEYyM1pFq6M/BwLMoSUiXzSj/QF71ow12rWRoqpJCXnkrd2Ggx0KD/rulvHSh7
ml9f06u39P8ui/ovcTr84Pd7mgUPwdmoII3/hdV9uKdtyDioWy3uSMxBSlb5ffcDaIekK0fHMm6/
28z/2P2wS3Ih2BESJd6jqP5VUp0SQnzc/DDCRLyJwN5FqsHMkLfwUc7b+l3cpHNunnPoCXoSXcgA
B1k/favkfim1Z2P0wwvxN4FXi+CT+CyY2kQo/PRCGq0Ji5VkODsOhXYb6K69dubukEUZ6RImca/a
IEEktMWVN3UXVVLeS7NmeAe4bDlkiAuS2kiOfe2QgcAJsbSmFqORUypEdv00NGW5zNyQJ11RcMIm
vS15wSX5lWck/lSukrmcW5E8SZgEuegAXCCsuMcKZKwH/4e1VcOz6oidZSX5xhf9Bs5tu+oYA66a
hOAYaT9qrsTl1XlA7a0nDHcFHFvnFnHWjZaNl5qGeynScRANkdrje/vaY/PkZwGhvsY91TjZA3j9
Vqaq9bueCCSEIMzYHz23fjMD+RJkE9UPSqqkkzSSU3R2av+IjS3aACvfCc+vt00IXtaq6/tCBLvI
tYNlGoZHAAOf8NUnmz7jAhc9UOu0GMuV1imUC9fgxmjnFyPLVAJ6fGW7hJtPKSFRgHErEq46adzX
TXAqxqxbFMZ0I6tu63jmDlUiVwryP94oo3yc7hCFTOdWm9jwZC0hQdJ78VrUgQRNdCrequls5tOw
QFwmKfz+cJrK7qs7seTRhXMi7oZOJgdXVDEPMOR0aQ7dcpwYQAyhwYVlpOcqDeMNS7btnNknzGEB
Tnl766G5Qa+W0PoIp4cE4L3kEIEAO90UOYEu1tw8UG7N7FW4Jaw2vW2Gbm84CZEElv5Zhyy6CIbp
IWUqvx2t+cococ41Ydwv6rn+YqTmF5Pc1iWpEjvosHuwlAZN/7CF63SdJe5qlIW4kNbM2ifNP89x
+RRKhAKZKO5otxluVzLZDR2eVolew/I3YFu8es1XDGuEPYRrYwyr1xxfcL2ZXQ1nsSNGsmx08j76
xWTWQbOz2UgoicrGcAfFaKnHQ5o6YNjImdB9NHm29WVg0YNheNPPSDQXEzqRBzKHFElmYE2wcCLV
RY9GhMvd3Fvs3gygTK0SoLrVK0OjGyPR3lyPX1NFI1jwbYQd1N+RmdCC3RtWxcB1rmUOFKShv3BZ
VK6wK/HnIuDomz5SKZDDs4hlsx6D8hREuo/jY2RQhQbQxqcWQ2BvG3a97dPsIyscvXjZx/o5rotT
InhkrTw507oeU03bzynQpzAIw/U8TuC58A6KYcoW8UBxPHbGTdiK7cgMnAS7YTl27EpF+TTUa9iY
e1Y5x6TVdvAcSGTQX2aHeaxMKXWn9CW1b/uhgWnUHUqyQFI0VoB7l+YGMSgFAXiG2VoP3PJseza1
geYmmst+a8m43egGVK2gt19UAY3vc0AORG1vD+W2M/Ir1EbPdYEsKJrsh7bV3VOpxXZ1V8RE+rh2
7e8KM8N08+GCOX87lz+ibX/Cl6pTlOtCNXsKFaIbCgH+8bhuGrJHsEBO52FayoW99Q/jbXHax7jP
X/PHcp3sIdgs/CMjj24Vb63937++cvT8cVv87+UVW9cBcebAOPnx5Wu/c3pNdPO5l6+lv/d0ksHH
F63IvlUUv7wu/up1TN2ANYebxWYG++PreC13VjT289mILkLWwWn6hp6HYM9/eJ0fb79vfx8+T+5A
/H4SXuaPr1OhfnYAaetn4RxrgWEKPaz9+Pefma0+lJ8/tI9/mZ9epAt1vTEB/5/JMHqA8rHud/oX
lzZoUZwyvmOLm3pN/7Yxd/eX7ipdXPanaPPQrP31dXwYFrt6VV+0K/7DVbHhf+uHv39/5k9+sffv
lG0iS7HQcWLl+On9pd08MzvUjTPwukv/Wl/rJ+MxOCA5Qye8mhaHZ2M7Li+rzbBznGV2ZJp6DdVr
Q1jDf6uMb4Jb9QX+dSG5Tv9vVdSglSka8xaghHKJ/vGD3wtJBj7EEwMvtmxuTqKFPxSSSIX4FeJY
Ndm4Umj+XkhaHvIiiYYDA4kOrUjJcb9PfJQ/B/8ekGZcVjxm/2rig17ph++5MuHw53Ay6Qh40fka
P32PqsAfHc3oQSvbxcOg2Ko9kFWN0pesqqY+a7MisHJZPjl22aKzwWneSo3eMIOL2Gh9fpgD2CLJ
zBkNuegRtb1E1uhOy9KAoj+rOMlMsWApivBQ2l2xrnyP0UzTDCju59tOUWSt0Q2Z28p7D8Ast0q+
EUrsIIHPciAEuxocbRuNj6S0KbhgeVsXIaAGLfJ2hh58xoJ8N1r6Ucu6y0IPle2d1aJex8ZmcgwU
LMBwUxAUk6LjFmBy2fU/+615aAVxYiEgXR2KwyaoRLjsBtiqQAc/iTohUlkReOvRmTZeMb6JQryh
xIpXYPe6VVP1J2+0nnA55gewKwUZw+6r2RO4p2i/vM3PXp5dJQ6ENquXSy3EevswMtdec/RskZqQ
dUhQCBS1TVBAG/MZBMxO9iZSYz2qUJEiLbc2MSOyHm5Q2QY7XSWQZL0TrJNhnlcxUUjrThuvEGcg
wiG6JCLCpFdZJkz3UKMaLmliKukkJvIk7Ye9JdqXTGWhVBapKB3xKLPKSXH16cFNgfydx4bA5hJb
Pow4rkTvArb817kLSX7EBLNu4s5mbQSJzp7TcZtFWKHoi719WU3htZWY9/DSIPFO7IdMNFkzwqnn
WWfMgxTB6+46kQaXLFfKw6xntQf1MNmVTrEeYv3GwAJCkeFiacELxIgoelAeIdB/nbuwNHwJVgAr
phQlMQwFTCtNK85BzJJYNKwKhH4nNRjYQwy/uqMxSsXB7nI+4ilb+fH4WDrRF0lWgq/FIHgRnYBJ
IJ5Kat0rAbY4QWzrGVzIC+U1QTqB3E6eXcAAj3emjsNIFqgwunmjmcCFlJ4XbsdqjCUM7eRC+PJk
dOTTuROxbXP+VVdYkr5zSap0JqA2SeAsei3+bAjtyUHwNoXjTRq2F1Ov3WE8e2m5LmkSvEXVacdq
rC91y78f8/g4DRm/Ld98CDKWM2Ht3/mjJDKYT6g0A3tjldStCW7r3LSffTnc4/iDU4TcFykGJbWM
9E+N7d0MdXwZILkmjw76uOyvBsO+sSb+LpkfXdeNsReuWOIAOARwvzsxHEvN+RRM7YNqV4LcgRDq
EKsx76waZJLOYCtppienQ5sDdyxbJBHrNo45IhAqwv48hTH0xz5a9lH9VDfZwfL6U2KZ+1CfH4il
RLUApmxZWcO+rJ1oyRcWh7WW3kDo/FRaGTi/JK0Xs3CRxMXWGuaeu0ag3qyZCmcbFLQ7FDwqETCL
94RNLscGMrSJTE6duJxSBqmedn8uGNstzKrVNx3IGGbDzI7Zbul8BJxJ19ZE3mfnfXYEI55SintT
kGliI42yOoiS/USobaGOuBoJFnqNW9PLgSaEzGfKJkNbXRzwSKS7DFGTkbYMhLHzAh8ZH7s5uDV0
+5PMWDAGpnsi8d1HCqdpG/r3G2Y+KCmCxFhOpvxkwixZG3lKwJEo15OlzegfTFut8jZoOb7W7ezf
xhXshKg27vKozwmFktHnMtQuRdH3yK04I6LokWSMqxriBciarzMl8LrFPQgOVAfPWhHcETWOxiq4
mbPHDO5tcJpNfA6MJou1bThHx63vPIV6rhX0eZ6Ll2KOPFx7vUWu/fzk90CfZd9AldOq5dzVZztK
L0Pm9hZU6RG6tKEw01ZeH9LZXCeBDX+nda6hSp86j/xpoSDVMbRqF6qHrtXwfxXI2hnwOuIcu7Ng
XEe+fkhhXscKfp0gguXdzE8eUqimmh4yB8TPEJ/5PvAhjN19Bkl7dtAltQos2+vsERRue/SYEcPf
NtCF6vC4bX28z01v4dvOWcDrLj1ipF3+YVQob5kK2jKF9/YENo4oBvmd62a7UHFzqPp26JN2tcKD
y6zh2BEwQBQ6HNEiBrV3nHgZ72cFGNeSYZ/HCjmu4OPAh809yNBo5Sk0eaEg5YmOJJ4oegMlHWMC
hTJ/L0b+s0arndSvqzI0B/Bxv7R/LsrUz30vypjuUTjpShQilA+KsdfvEhMbIYljOBYoSKXxoAb8
Pt0zflMpGGhMLHobtsaUUn8ou3XdMNno8adSUjn/SmLyc0lmu8gUPZxaIEdI4/i5XWw7GKeycIZz
px/Itomnm6LZfvhQ/qIl/TYi/LG/0cmVYneAW1Ul3CFT/9iTGjx3cZw05dkaGKTh6HEaWufQMnPr
HOp11atBz5hcz0Uk3EsIafKpDqTJMkh3pmWoZ6N5MEW5bMZiX4XjBdN2UDbReo4MopdnazlN6dl3
tFVaaPup8YC3FretzhRhCo31XMmbMWp2/oT5KszGDXYUY+XY1UErSV1zk0/plLxq4JW7styDmX2i
9kDYF4VQG5u1a6awdRooBmP9te7ktkyjYZVWttxGld0tNZp4tVHZVT1KkE7G92QcVFaz5K/3FAh9
r3vMNyyjPJBx95Y2XshFZVO0ZG9+ib3SzUoyO/SR1VhTbxA8XPitHFZurg6rwSQJQuqfxiY/kOuT
rQw7v+uNAJuLeV+PYboAP/eYsLgDfDB8boR9mOw631RxecrDcVh5FbFUTuQ7S7+ob+sIPZ20SbUI
JuuUBZTRbWNdpwOij7nvnrTY2syDBJ1hSmDMZvsVWD8cPTKEcLYXjIDtoxxqmxMaKFmaVPFO6HC3
yxYC8Bh3+ToqTW68Hv2pXc6PBiRDi1/noui0G2fQuP5NfGIZyn/PTZ5Bq0F/G8q9Z7TxZdoOxpIS
7YCbDiyFUdkLww0ugvYzKsaN15HCmw3m0h4rUrDS/NGfQZf7lUtGUwA2y+3qVdvL7Sydz2XExTxM
gMak/dltMlaKcfQVtw6jFxtwZdV6d9TfX230izp66gjh39Jo4l1oEuthjO6yCLJzbzafjDjWl7Xd
aiia8z1pUmSv9+0mclXxbjHKsZt2WNsg+4gV685cOvd90MF5Tlt0FGG9NuzwNhjbalUAy1vmPqWF
DY63DxCbFvz+PDe+NVF4cF2DZPb6xwQZLzMj8TWOvRfHSJQBl+GTxeJogdcoOeXwLJdBHJGq5ej3
wVQhHnRK0j2sqyCVchUW4cCXFcQlZDO6kQrn9MDnIeX8nAifQSTK2z7O32xjEJu+1u+TICURFk/v
qLkRZUdLUrj2tdXcZzDh3DcJck3LaMjDeLcSSWRo5rq1pmRfvo+wBruuWGjzaXjMwqs7JxgIpBIJ
33IvTe4TGB17Zx7js7CGu6oyd9pcvmU0X1FSptjiyy9GW0E4Iw6c65vc8mRARFZH8SMLZBjNPipj
8UDS27idQqiiGT6BSNNu6i72MkrwtMJCx9p71ePH1/BDrGqvBDGTOs6C8OxlYJWMB62TjQBuKQkr
1yBxw3PTlfv7sinkU+g6b9gKqgXHGjtUlqlZWoLZn46Wa79q0NWGNsJa3z0HnY1BebZu6txYY0i/
KQxrPxjaDcRs0jWDBzMRz43rrApDP3pDcGamdJ6y8DQ37YZd8JIIiy9dT8gwLpZV0pCoBQh6mSBF
l02NvYA89brsL6WCNlasOLE7r8LIwVfq0R3GrrbwNe1qauuHLPKStW82bw3BJGY1PmrNm9PxTeyF
3Fg2BPqlj4SIXsgf0FLF3YShVO8n+SCDftxWVW0u4wAugOOWbXmZWNZTVth4zmfSPfo80KG/cW6B
NbVL/H9EEGzbqaiXbkpH5lpExlXNpm6Hp2FIH5pKe6bJsq71zpnPXHjVpk6r18o09mFtfRl996qa
iSfBe6oY5LTorKxXmDVdnAxptMnAft3ZmTudgiy8jYLgU4ztdTkA6j3WRPIiQGyZXOb6tLTb8Dk3
+S0O4V0UFfHKs7RD1zdPmFhnAt2tbOOraTQqZFCCEXfP0kMRjXgjFaumK/E8gOq4A9k3rabJG9ZB
TSoKT3nz6HtNh8VPZjueZndVpe3KFn2/64122GIthINHJiHmST2EdIbKMWgT4rfTyNkNqWfsmqQ/
A664aexQxQBv497uF4XmE8mDBGUWxh3951NtjLeBU4s9m6KnwiOVwA5m//Lvr90/D+10BvQY4gU2
aomp7MdLV7D1ZQdXdefCxcZoXMXuneBdO7iL43+aYP5YRagpKa0WqDKDRSWEJKnASR+QP01TjK05
NMPZ9TEaPlTTJtT+YQj5Ty+h/v2Hl0DEmqZDlw7nkgeTbCiQnC92efv3n9lfvgi+cB1ANzWWqro+
vkiDxH2M82E4W/VdVVyMGok1/zAg//OvhY/qw0uowfaHv4cSKwSGPQ5n273Nqs2cIa0d2OC/xtM/
vJKapv1Ydf34SuqdfHilFGt2JiBfnKtpXhi5YCl36LLT0K/7DEPw/A+T8j9P5JWN3kTNhekfXfRP
w702iMe5hmUM7v7JQPYjEVaFxyl7ev8V/ddrGExrf91r7LPyrY5e07/oNfi5772GQUOh1j7MAKjQ
2Nb/0WsY4jcDhYHkMHgHKvFT/+s1LBoUCyQ9xT8/KKEb/t5rWOZviBLg0aHTY0AMm+7fSP4M68fn
C/4fYj/HxCrKqaTajp/OCRnC0h21ajqNVgnLxUCYJU+lZB//VZ/n3KHUavWW292KdDnvCoE1O6dc
jjnBhJ3c+GaoKmN/2NUGmWULCGefAx1ueOH5ryz/bxM/yc5kcqKfmYW5sRwDu6OtN6dCiK9h6XLj
ZmbG00CmS9h1SJMb4DitGCT8FcO5mEmEB7iYtpT7CXlWy1Gwvo3joL5EGoOLJPIuaMaTI217vmrK
YdogNygXbYXjL2WxvmSPr8x6hodIazrgqL5wi9Y/ZhEqoUTzWNIwMHKprQXqJYIGN6Mnw5XVcg1X
1HiQbt/TsLkRK7djz2trzymndynG/CDD7s4Q+AD9zC5WeURLFHiTdlnH4vOQc9FXhTS2hRN/neP4
RQ4RIyO7N6CJ+mjFSzue7omv8eGPhqcAafi+C+O3NpjNZ8peHeoxNPNepNVKNimzLoJnER55uXdk
dmasxaBrB7sc9QsnytttxI5/gRVKXNRSXrtgem7phPZDON1pJTyows7trY75VAo0eegSEHvjVKY8
pYubE6VK1AecdVOiXRhhx2h0qkPnuS+JDvB1Kzm2/mS0WxJjJsrkua5FDeUtW/SEGUWnyaBmX2DS
xDvPLFUfvKXraQiqXa8iycOUmrMv28m808wujfY4rOZD3efeVcSMrVoUs8u6l0A1CzuWX6BNjBLv
a294yYVZYBQNsvnW7rmnV/+dXu9CKDXW+JvTK5/+YnWlfub3k8v5TeAwRwBkvzvWuay+T0kMsj89
ndUUjAP5Hg72+8klOe6w5kgh4cx4OBr/OLlUbAbzhv9ljLIM/1cnl/hxRYvKClyMpd4DJBkky9ZP
l6kVpuB7e9leZokIN0WRgtkuMnrJa3QRc08/4oX+LNZ22OshI7c+GdaO0ZpkUmMAIwXDniIrPVZu
VE1XrD7AJ5KaMDgARoxRVKTROGloYTGhu+PJsNMI/b3mx7250nyvyF9mFJX2WXadV+crSQYPuXiO
MzTj0sBZ27zKGZTZzGgV/pm+HMe697Do92G9jZvSIxVZBzVNcNmiGgb7viqwvbjML6uuUDrFJGa0
UA39kfTFaWO6UX4p06S7wfIwfNJzxynZMIXBp96ux00KNPkiEklBK1v4l7GGNJNtQ7gD2sO62h2s
6dqA9b5vumI4JTk0FYPh6qr2y6/F4DYq9NGsX4nIaZZpa5vdMvQdJvVO3N6ZQ5Ut+QSdz+6cets+
TAcmACi4GAxvU822btxZh/5sBYQbdDrWctcgBMdpW411kz5d1iziNgmatY1dGhB6m4YNFOMXbFNz
3+4qX2f8aZRItjwvNF8shQUJ5zmGymZ25qeEHhE8OYELUxI3Txb2FchTJuq3ksZldrPuqgNrwkea
77FDG7dGE+kpqGL0HVBxPKgpRXg5KdxKMDnRpaMwLJ5HAkU8e+4l5m1nhyufjmTCEhVawfQZt3d6
wUS6eejwpoP0imF6a5F5gn2QzgsRNslm8hAe41MX1wwENBg3TnO2IqtctZ1eHJFI9McG3A1e+BkJ
j4Zq2JnGr4Mdpju3zILDWEQ27y2W2ilC2Y6mrkGaVkzYu9uWI7ya0MOXAfFNNqu+xejUVHCz6fmH
tNbEA2ONR1ad5oWpueUVb9/faAnCq6Yw7U1b1/rVNIfIkLDS7IMoZz/AAo12u5xuQoVO6puhWk9R
N66DfvY3DfvY4L+T9duC32Ba+uuT9fhW539RE/Izv5+skhpOINsgEPF/x+f3k5UkZoSdWBlNnXpM
SM7j7zUhx+f7UNjA5cg5qubC30UBNicr+UE6gFegyygG/s3JKtXs948uBU0AFgiEnx4FD2IexsQ/
dinSKAPdCOf2UjaSNSzrOxaGoZmuZGV7W9m7ryiVh01VYibHrBjbUC0at5u8lYzM+Dkyjc6/Cv2i
q/Z21JQZY4540NesEztJPG5dD+d8KC9LK4nuNOapHnPnWbITmhuKljB+sYAgXE85/i/CkDivA/px
DFy5OuJNeyZW7v3bWjlj3e1tX8vYDhrvAJ0MJwgjmZHV0zivrE40UbMx8zEyDlkGy/k2mClumBL7
MeMyJH1bzwp08gLyYDv2rViRnRyTATBV6wFbxLZPCHMfxmre6qQYP8x92Bm7BIb2vLaabgpWk+nN
4zrt8GFQNfvavM7tUmuQ+8/i1E1NiETcLMRtJESt4qVL+P/51GyNMkza28RK2YHjDU2vRlOE5raS
/P8pIPp2HmwM3iX7QawtY1jIfZUalr7+r/h5L34URvnXj+jprf789uXPD6n6qe8PqcpE5ykE+Uzj
zPPGv/r9ITV+M5Hz2NBxpCE+Loksnmz2STyNkHVZ33x8SMVvtDWWxF5lsXf5l4mqRLr+/JS6FGdK
CcSpwEr6Z1mfpZkDI9okuWLF3NYHr41Y8UYEfmiPbpHIYZ0J3EN4G+OKqz9ZdSa2+zrbjfu97hOJ
mr9PsRdx6z6EE89MGfV3zJLqoz6mBQwXhgd4F/JE7UThrDT+FU0cWTMxCamlCWUiGrKbIpmuRi3t
wUyYr6TtOUunTo6lPp9zgX5W+vXDqHGNOWRede74MOvDF1HKG0R7/AHc9LtgdDbIJIodqejXTCy+
9gXZFVmcqaAtXTCJaRNU2NmZQgMzkD7BUSFT3C38awTmQCaU0iQQhF2OtUv+VmnSww07X5jPNEYg
zYoJum08pwTDVv3ac+x4h7ggXXu1hCZT+GKdVeFTl1TtKnfKhBBXvBazcl1Yyn/RvVsxBuXKCN8N
GuzQpbWgm5k4ZnBwhKGOhFO5Ohrl79CV00Mqz4dQ7o9C+UAa5QiJlDckMHCJTNhFwCKZ51A5SHLl
JRGVbLdM15tN+G416ZXrxMR+4isfSv5O0gux/0zKpdK+G1Zi5V2BUmcd3bIGeJx5EyoYfG5VdLCl
JoiwTxoNdJ0KxZlkYnwyKstedUhxZRXHp5ANeefTfrf0yWGOcIaJ50bH5mzHHrGLo9JvWHXylhbE
gTfJRaHrwSqTwzZtE+S6jnOqPe1EwA5fpAwYSpnewCY6lGb9bGrJRTwQcl6Z2Z0VhIgQQvezXVZn
BPOXeTbiCQ9bmZydeCK/CTutFZMWEMbziciCfKFTqicl0XSgQPx9MoX7LoN0y64jhyFrQkqcg8/z
iNbaJxmWlYbSgyg/lePlUC5q5zPkXPLhbD1ZjmbbrKxwXHdGu5LZdM/qZ1xNbe6sIhgtLCoJ8fB9
+5KRQwbOxyl2WoC9gViP9RjxX8bKp2V4a4kSZJno9NGp40FVnO2e3UfUr/RRv5QON1yCjAXDToLc
AHwHaT540Z3UXEfEEIEzMl/EaJA/NxW3LPQiFDK0yH7eSMI5yQCJMCFjBPWAusq3zA++oCBSMULp
ErEPWwgtPndOPvAdMNeG3oF8aqZsXRjqXikGb+Py1ddhW61yvW6DlU/4E14LSE5YyWMo1oe8aYu7
/+6Pb80zfeuv749jlAfNn68Pgx/6fn0g/EQP4FDLGcL81iL/fn3g9OVrLBjMCyUJ/6PEE7+hr3Jd
SZ/sivc67vcS7z1zEmORyRxRMjT8V82zpFb8qcRjvOhiH2K8QwCRwt59HERD/AInCqnsEgiyVd/D
XITGsMynzFiFIA+Qd8aNGZEQm5DOhBAAsiGMQx3UkPdOPazfCYjtOw1xeicjZkUN7fMbL9FpKMia
xj+Qzgx4ClbOnFwXWfJYcmUgs3oZB7Nlf2ldTgJSmZ07CAfUEwGF5hOgKbEw9dykjWQxP0FlHFui
mPM4WWYmoTyD1dyGhv9Ev0f2bqHHuEjSMAvGB6LAmmUWdfO25xoqCxDPchTLouNpP9naRHwsYr5I
ZVvCqBhgY2Mv8lXypQkFOug5cFqR+UujzDec2cOyIDCzirVdFLEKHYnS1FWmZqrSNWc7u4+I2zRP
RCuc4EatRuV69VQqp5/6dwYxnRl0HA+MVzxfG624H/rmUXCqQHCqvNN/D+K3B5HH49cP4sVr8vYX
zyE/8/05NM3fLOQvzDlUAIb+EXqMDIgqjAcKd5vSUn+Yv4NDRuGjnPr8S9Is+AO/91rub4IhFo0R
pR/E5H+n9fmLFAR1BlATujgnEGL/7GZg8kxVX+XOVdKnwZGbp/JvxxGA346csGQ72OS8TxIFJoyK
FfK2dM/1NoBP05xdguN6n00mGyTcRQmwUZj3I9nm5Hvi07Uy48J1ULoMMZdhEuQHjWCOk5xx/Iyp
vhEZmlS2pRtvdt+cuGczS0rsirtwzpYiDEiFGo4xpAjt/9k7k+W4rTQLv0q/AByYL7BsADlnchRJ
URsEKZHAxTxPT98fpFJZkocO771xOYpOJskELv7hnO98RUas8Ag8ZQxuwUlkK1iiXRETo8YdAXNi
YaM/6tFdvcIo1BVLQTD44BeQKrpFu3Jb902EPewZ53qpnQML0nvpsDGGdKGsyIsiLE81DIxmhWHA
dvmY4U93oGTk0DIiCTaD9QWQxxWlocHUYMJyMJxqk6jhswFzo1/hG/MAzDztAHK0q11PmtAPV1hH
01TCE/A76hXkkTb6KW2zqzoj0Usk0aWG+dHA/ugQ7uKO4znckQBRjjxsw+qYr8CQnCg/C4KIyuaO
qBjhuQsM9xTKiKjAjRhiPi7wR5wmvp1XIEncJYd+RZTUK6zEnTkGV0N/tYJMEogmTNWeUzpcZkel
bxnNsiUbERdcFX8G0k7W7YpGKbR5h8j9mLGh2OXQU4gGA6C2AlVk0zxWYWxujOa9X5Er9gpfYfTO
OgPoMHOHd2UFtCAyu65XZMuywlsGKC7OinNR4LogTL/NcK+5A5WlOZQ+HEXhWxE1/7RiYWbCBB04
MYKJ2yZZ0TEs859NWDJWZBIKt9zW7OwZyT+PhJyBq4vfMWjOW5xoCEZbKjox79MVVdN8hdZAr5lW
jI1CQh2czGibQLiZV9QN092tgH0z01CVhIOvMmVpt6/EhupnZqpsG/J+AmuKkg38JKmoO35/e5/P
2sQyypI9Cou8IT2zcwSGMVIP+aR0gT6lDnlxuv7FlwKznQxx5eDnAGWoShIvUpgRPEbi/Tyo1ws3
w+2MX34HSBuNKYNHEjD0o2Ekhm9GrmfUvAZwtXKdRBFw5UktN4RKQGewaiMFWzmrGwyX0wGxjuVZ
dSmPjjMtzEyscVOSpIv6DXabOgzbscs/O2TD1gNeTw6piwHkwBOuezu3IgraLLmq7Up6uvbEaHq+
bzQlfaZKp/Wo0Z8a7EG0sAHn2nFBNrYBfnTNujORxU8FFa3BoNlzEDPuch2ekSjwGGpjP1zlpokB
sMTfocyXVB/gRSAz6llArShDQEmyfW16ZacZ1JMDeQ0ABQz0gc4R+KN11CLgemWFclVHD/dJZybk
WQV6hj6CEWCuD8oiFlkgKcfJcMxyf+kW9XOt6R+TPA+3LqQnmNWjsysWbJRpCvi6zJH5tkqiMm+p
S0/T1883tHMPCMkJtt4uG8cryR3lj5iP6U5uwU8vngqbTYvKkzYbO5kDxCpdUpmTpWFM6zr+FEMJ
MQizNDq6v4qRbZfE8zYv8tvYkiYmFSjipWOdnKgnMbFSd9JKn9Wh2fVKe7+kw4CFDal7jGux0NJL
2zfRdu7zNe+22YVVtbf79j0ywjiweHgESNe5YZEH6Rdnyj/kbZKdoTreFPxFWb0hos5LrCAR/Spj
9SdKH9y51Yke7G0qdSKXy/zYpUT1Rdq0IyHu/t8K4VuFwGTk7yqEtn37s3ksr/peI1Crr7EH+LMM
nVtt1Un8t1bHuL/+30xZWI//OI/9RnpmgYF3imqeKKXfawT3N6ECjMbE9Z0P/Q+wPOQx/Vqtk9Sk
Q9GiIjHVlTr3c7U+9O6kUIWP1zO1r9jEQ5ggeBPuzEJDxhsCcU7dkkbGZk6GIX3Uek1RA8bIsjtU
i1xjPADVn1t0VWSX0g8vuIeqosT/Uhi2BTdxRFqaVRC5oGo1HHFspfaTrUXu+zd26ty2CGE7Kcww
CElEcYOsKkcb376yjjxrGwgONql0xACzlGhpPPGVy5rrEYxWU2i55oXO191ICsT1K8+1GSLTesg0
XFFbnBAHxsYcOIVtMl6CcrmfDLix76PhTNsoYcO0iSJGTxucaeoesm10VEIne5Uw1gIXCzVxLNU8
bJSMfRpUN57PMU21msPRoBmwXgeLJdey5Ajm1JnsRquOzJ01x+/2qAAVKJx3Kh2THOIo34iKr2EN
XjNR+2aHg3w8xRFOMWc9VCOZExzUkfnDIoaWQIA21rUubYKcnbbXqAqZravKQZuluif3hjokHIsX
DYw8iQFldKwaJbsxZzKZsklzd0CS31KxWDsjM6JNFQ/mri078nGJT6FsIwPGtPrsJlURsdauiS5l
YMhV1+PGUXBMRY7xFrdKuafn4bIYIGvmkVlvmhKEi2orr1WKh89eMjJ73RKQbtO8C4gruwq+NWYG
Cr9gbPCAZB3pS2WZt0f8gkmgK3Fy4WcG4gsO8JiOgy/7RA2omTnyxTjfEipLaoELiqhdDWLlmBMP
3JiON/bhsCmWhh/TMT5mRQoxuE4ir1lDgMIVDFpi9/a6aqi9HhneTsvs+hbdLOKDaOxuhaQiWYgr
RfM9o2llqZVtF9UlxpQcHa81p2ozaaL3YLbWm3Aq0r2WAelkrJ/v/z02vx6b5t82VveSEOW57P/Y
XK2v+35w6ngiTBuJocU0XLfW5uW/B6fxGysq+qO1ucHjype+GylWTAo0ERX3qrMGyf1+cILI/zo0
RyW5UkfWyfo/OTj/uMkydYeWalUJAEtZFQe/jDn6lgATu7yZGhUU7mCSAIGTibpi3McC3NMwz5hF
1VElmcVST2oGkZEYbpEeaKXKj1QV7QUKy+S1hlHfJ71t7q2pb6/GNKy+VORa7UQ2YHfPBLVnxA3v
V66CFTMH137Touy5ZtRqPiuq3W21UIdtAvOW7JMiLCAhVu4XGpy7ecqs60jTlKPOqHS3OHb+0Dmz
9ZwNorkfdau/dG0sDmm/ntmiZ6irWXP5aPQqNASj1d9KzoePlpoV+8hq3aCowvZloLHdxDwENuyU
xp1IRrT38VDdjiT7Zr3stpGMqmDABjhcxwoW2s/E1cfmSSPBdZ62XZn2O23peuWN0jeJr0Cn0EbU
YVs0+E0BuwsKlfg+Tlx4zNj8aTHABaMsQPVT2kBTzHgyt2VGDjQj06EalcCC9y1PtlIwPJd9Nr8m
A9XsRmd66dbh9GyPmfGCktSiSZioj6LYto4z7c19N5bLi2FZsPipp9RTtBJFZMTpGVZD9MqVJH21
WJaXsI2XN0avHxul3haRPCqrbzPXoI8j7aj2GEwiIlW0ft6lrOWBE3fzOV2pK1aHwcyb8hIhuBwj
uW2RN9O/DWR5oVt+MoXMDiiKH4y0jnlG1TPcMXBlOOa6vZ209r0TV/mhUzr3oVJr+2pya5VnwkrG
0jur/BAi0nhrh8x9VchxORpZhy12ypEBa0rQdOi/B0VpJ8BQKO8R9svqXdAeH+YqLBibOe3Bwojw
KYJQHCwurhZSBJOzgCjFFL5OnrVQlFTIYj636VI+L/2knLh4V25OMdKxNOFHZ8nHhwIQ6aYvJ3mv
yKm6iQfMCwXhppSvpskUoG0Jjafdi7tNO1ltEBHDJFYHqL3XB0DJNt1iZhzFNBq3s02gnaeWtvZW
ldWyrSVmIrdqV1wYffS/Z/HXs5iF/d+UsPcvxf94iApemi+y+BPR1vrq7ycyclM036hCQRMjpVxL
ye8nMvFfjkoIpKkCzUBOzcz3d2nBSpICuyzAhPwsLTDgFyA4gFT0n3n1PzqRdc72nwbPKNKRmlIX
45/jVFbXr/+ggHahDSD0AcKnpKDgrYGKzgEKeAB+VH8ilhOETFcjX2GvpwguuhQ/PBVD3SYPc5Im
G3fBK3NVNLoZFHUVTVj1hTrcTqNTzi89zxrMQhH7+h7nTDYkOJ9qw3GgHBmsCHEsC61eDjyeoPbs
Ojq2+N7pgB83VrcmKSqI0LGsL8mHvMyGB5N9pO5nqTozcCb8gY1cEm+rKsMn1GUwamJcURmqhseC
FI/em0HBPla5u86qrGrBFlEsGhToti58xlbOjZEO1bORc6/CwLL2ZA6jo9KGLLyGOR05OO4TiSsF
mamfh5DnsXnZoe+W+gHrR+7nRtITPC7yK2EXwx345XjT9Klu0pEWhJQqeMr6rHY+6azYFt/t3HLx
BvSg1OOOtISfaJm4g1pMusfS5XKfNWL5nOuKEcSRObeFP6u11cCGdK2kCj3T6NPy4AxGt8MaMSst
2H5leO5wIGvo6ajxzETr0dZxVqxKu+Wb7o4uhRZhT6IZ/9lcNdFOqN1y2zYD0g63aG9dhCXbBA2t
62XYMj6AwbxyDaS7AEZXjUihRAP1fquWuR991ZHEXzUlmN6S5zRr9Q+T24Mz8uyeihfnh8z2qlFw
nKKFCpNDzU5sYmwnzfHNHp3ozTVcsWNVGm4zGfMMxakeM3BosdAoxIcju2s/Mj6smutagZFpL92/
J9c3KdQqS/jr5vvqpXr5YwW5vub7ecV4Hgk8afdstkDPrgKM7+cVX7KRzjvYPjixvkopvp9Xzm9r
vWkgS/3GdOdVv4/nNYvDj+XRKt5YQfD/oIJkDfDLecWJKOi9VzGHixzqq3z+h/OqqdvctAZ9ua5W
s7+md6bXuJQelTU/aEm9C9e99qjVQVj1r2ofwv7EfIkI8tRaYRbUqfKwphFimr1YC+5Xq4MZFGYd
5ZG8tmW2nUOHAKcIX77W62QLqjuYzZfRsM5lXu6cyN33iX6dqOBrHbp4v4kY6LOqvrctlImdob0p
dkFjSqhaOpjRRdhpBSAOZ6JTW5uZwsMDdbrLiUJQLR7jOJAemVjftHp2bSEa8XryE92zMWSPhJPt
will32C5t1kS3VNk+TgACIaywPZGWamyNzcJv42Sy7L01UvR8T6zNewWpaHM6CMf3cGeoCiAJsSA
BizZ4k3nSrUj6LY69mqUrlk0uPZ14QYpWc0ysyj9sleI1cG6kvSqASxJjV3eJ3hvN7HA2woVee+Y
7kEQM7nsXNgxWOvNTDvoc3ky1EweNYWYuWJGcd4g+A9TcR7TsvTd0b6vNUkUMTWarxSwdSO3Ma+J
RzwUY68iOic/x2qt7MAA6MpODdKli85vu/BTGzkfEsWxDlIx9uYcvjGbwSxLqhG2DHLfrGT0AL/A
ETZNwpLDli1+rn6YHUS+YrIOpApPgRlVd6hC9hMSaz8mMtmPON79UrbhwR4HFRIFJ1iVkJFYtP1m
ieXMxJo5hBWlnxutYGJfr0R7ZdHv3FoDh2+lm9hyiA9BohcoSGS2w9fdT7augfCSFqQgsxqKHHX0
R5zUh4q90bQukIZ1lWTrItl1JRifPeTAMrx3Rkc54mD4Eikl0+QwdY9LFcOizZpDU0cfWpUxj9rp
e1OB/wPaYtPGvbUZ8Pg6Q1GeCqe5IOh9Lyd8zOYyIh8aPlYt7ZC9yMderxNPsn/zh7D6CMZWxd6x
nPtiOue5avqNk9wunTMgzmG6P1qXYuWqhMojxmPVR/i65xHOTx2Z1wJ1S+9oW0ui+mlNTLjoW3aJ
0M8ZMHc46t2nhSQXwoIeXIh9qLfDQ6TX1o5EWySIGinQTVK2WxkXL66aXuKIxXIWAfN33UuRkWlo
sQIBZ/lFhvKhVObaj5QIvLuufjFk9TjAElRA/XoN4smXobE2iqY8M3CPvbFzLsYEiFkjPOsWk+0n
JhunVhNfxNKeZqu6WjTzFMnFJODGup7KUr8UTc7arM42IEdOxtSwokoI+9bjOxgj8JTkzGz9Q6ps
zNk5VZKFxQC4jmBDavVK+SAHAeEuzW4dKRRfL5vnSukAT/ehXyjIpy2igm2jC4wxDHKCExTF3i8t
tkbqnJr4xdb1m5SRT+xe2DkcWL5cSybbvcmnjm3wNAjWLWm+fKLa77YdwmgbC72F1iRTksjvhvrc
j8vBreSrblUMdTQNovHoIiNL7rvMenXJN4NnyNCtqMVjpHSFr+UhN3EJnsmgtchrzkK2aFCE2kKf
829ey39NaRo+h79+4p7L9n/+t4jesrc/06fw0u8PXroBRIN4O5hur3mEP7s7mL8QsSIgZACg4On6
/cFr/gacAvsqtkI21uvy+78PXrJZkCczDrd0Ri6W9o/AZMyUfmoTwKEB0qBHWZG5NCDr13947CaO
YE1UuMlVD+bcElz3O7N++uEPc/NN0PwTl/EXvO26w8c5AmwJNQ6DIri8P79LHbJOtxYruerKRGZB
6agFOiySEv3QIM8vMVoiUthJwtd1Cr+HBOVnS3gaWBvfqVV8m0nQRFYsz6OqsvPmIQT/qMc+r0nV
V6P4MKK57If4Igd3X/XaWV3G23bWL/VSnqbGuEZZfVQT7sN8iCIvUWt3K9axMMhGBiS6+4UBy4jZ
P+eLZJCxj+rfJapnj8kwMX2gHeG0hbx+EjB9ZkJS7eOoLPkuHCcRdGuBm6ylLtgqqt6U6CWfzukx
XMthEmeNT3oOkUehZdtJNY3tTdzXdDflXKdPJUDZYHZofvaRu1bV2tcKezCcK3tuZ1ZUa/E92U4M
EN6oDOdx0WsbCoee7Rplsa2dVo741uHA0Y3Wfm/l3RxSGlnKNUhf5cL3r4IWkWC6mvlLZKIOW7KA
I6xheI/cHIGm3BuZmR57bBbODe/XGp+sORLtiSf/ULL+MO5K0VjTTawltHrR7J7cxhZHgA/R81p4
Pg0iRr2ezZjHuqI3D2hjLWiiOqG7e4dNCvmFY+s+ED/IYwbt9kbpVcIRK0D7WZ+Ofh1F82HQreHK
7Xux6fibnxmQtS8tAolpJkxsnhzdc2vyCSEvbND7o2MCtXYHveOYqITKuaXm3mE94cBOYhk4M2lh
ZZVjCUrNYCg1dPXyCUz9cOajGwKb8LRN0yGAaqlIaWMnebQhsG0Eq95d12Ua0xr0im086ChC63Zn
G8N+NAs4E5Pe3kYsZ9kM5BdCPkiJb4tt3shbs7QODvlaQWhn+1KCLosM9aZ1x/tOE8MD9AHnHeQJ
mo40sMfJfi9lH1g5iUJhrX1QlX4bMcNE7JluXCXfpg6b1onRT2tXX9q2eytk8zYn8yNyKcC9w9Gd
8i0HiCfMZWdO6mV2hsBwYapb+nlZm/RmeFWZbNa5ss1Gjb1B7TX9/LnoF/YNnwkx1oLRzgy2LxCa
Umt4tmz5mi22ubFbFJZs3SPo08tZz/WDEekXu+qDsU+fKz6+tjMYZjliEw72FvLWvleX5ylsiSQG
jVertUc0Ee6dtlAPiaUlgTazxBXiht/xzoJfRdzeEqGxCFviEAjzjU07xRKl33ZZ0V7GujtF+sTF
3Gm7rGYIQYYaV1k+n1xuIrUkIsYlatJxzk5lnAkIfSLvx08tcd/r0S2DizPeMH/Q3XPeD7exi8JD
rzZ6mEi2XOQezKnmJTE5SH1DFRs16lWqpJ/KVPtUpfmR0f2pzJxj0mu3y6gFmQ5vJcsuSJv9Oqvn
0yIE80mWO048f65TsaefD9wGNUGMInpexiMTgPlQL0Vx7JzySz6HtM6onYM5AlVmTUa6q10yNVsg
GsvMIPXvT94/cR2Tqqsy7qZ5wKPL//588sazBnDPzuRVWaf6hpHoDN5iTgNQ19m5y40xEAMRBmWc
s+1a3rSqbm/rOlU/OER4eOU03RHvfVanMEhd8aRO3a6O7fciTaKgqmC5QAVkMjSr23Lhms7IjC9D
q/VHFomeWePgE063H8rylQFI76O7ftRxQm9gSgBxU6kts8Ifa7+dDlpFgmoXFjstaXY6OLlMJ24q
Jxsky+9BCx37MD0tbXase/0sqvLstLpLKTuXQTvLvT7Flg992bdDpdzGtDQRz6WgVds7c+5JnYzt
oxq73Nf4UMAMaQh9m+khkYNJjBfzdn3Wr03SFGFX2HifZXoZquUqbpNDOlo7CwZKILP6EBagA3sH
qljuEJ/XJRsrqs5ZlA+eKPRrmY2nrM/3PNegDVXMf8q53ZZJc50m2R0ACaQjxUC+RqFI31jruaa5
kUY7BPmC0Iva9MGcTazHk6R4Fic5cDFNXKAOwqU0rb+kNfHgVb7mKzwn+RzkBgw84htGziFSf7+U
rjirtUqAhat8CTV78Sod2XuPUTBl6XJQqvUs685S2B91NQP2PA+eg+RlznWNvKs5xccZXRuLpQVF
jBParBJnr+dJ/1jCHD+h0GwuGRvIw99fqoxSfy1EbHAwjmCRBFdm5YH9VIgszYhvM5dXIQ2qkRwb
vf82GvpLbPLPUly+pcEwFP2fa2HmJ7/uFykuc8nCctwousrsBEb6tezlXlZ3zZhwJWCSsOutm2z+
/rdCOPDT7/XHd11/7x8KrL5Ku8o0FOWizsU9fACafv6Fp+JHtvIsNpDb+p1jPdmhcRj6IvWHqaP2
L8bSV3VZ+kWzfCwVcZadqfrQnLaZO2qvTmyKIFeTB5teIIjS+SQy89kOiU/VMsPuuZqKklxjUWwc
FiiBVsGaEcU8H/pJGK9lAcMb8aFBKLr8nHGtbmoVjB4n8Bx0DIp8pBD3vZktCLTSBxRH+iGPAJbN
3RfEPHseSh/aptna7Qh73Ur2hhorCASpULKxKHbz0qt+TeJz0IwWq2+ChcjYwLUv4dEaEZMAdz5x
0b/X7ah7bSUBt0MpH80P0wL4SE2PVlcidEsp1mRo4DHtCCmwQeOnS3JC0RcUc6gHRqaCMQpTTln1
aVAB2MskvzjxtCsaIqjDhSsYs0AX5bhNq6BMcserlsQJmiy8VMD5I0vstdJefCea7nG0UcDR8vUd
4xHD6FR/Ed1OqSCvan35Ykf1pVHz2xqjHRbRzmu142ANCrIHg1BVhxNR0x6KOd5PIbmtjIOvKptn
ZFJZB/bxb06tEnEHVra2zF1UmWcx/gcR/ZeX+Fdk3e+Owj9ebXQUP15to0mJoS9cbcm5uImulG19
qh/ZdB6IRzg7PHr8z/roIS67FJ/G099f6/qqjvnjmzMQRIivs5Neb8AfLnWcdg55bKZyYcXnFWfd
r7Y9MTwn5Uls4WY/XCv++WnY0F0PL/wju5rPqneU2/CK7V/+//w0Pzc23/4SBkB4C+QHbdSvrq1Z
HdEmaus2Vb2pDBaN6lMzfJMs/OWf++cz64/v8cuOBZNXr8RxFvNwfYsI6Zpv//4v+qe/g0CrLBzT
YKHzy6eZT/aCeLLm4a3c1C73g0XN+e2E+rd9Xwnbf92+X16+vDV/MjJfX/Xfzh06OAcyORY6/kPU
4z+MzNXfoLnQu9Ox4YAnDu6/nbv4jUm26/CJGQ7Wjx/VahgTVyU7/jO8i7TB/4heifzjp/sN+7DD
MBOsJGEDbBmd9Yf48X5jMDm3eqdF1yEpWGLO2ei1q2lqbq6I93iqUsWrJqLfFzkfBfb4XZFHPLr7
vappb6Yy1P7oWpyMIwwZkZ0mQDLe4ibAEwdUbaRIr+e115UAy5w8ewSJjadKuoSyy+qz1lc42pz+
qmMYPWjDMzmnRFGmGwuGMIKB+JPtZoFC8/DIo1zdF1RvUT6GvghJJ+HHLrd9z5UtARqTW/xMaB2Z
JxJFW2uY6KQU29xOXfhORMUbNmW2hejQN05JXiVd1n2ZxrdTVLzgc3xkgghL0I4Yblp0dCkjastW
CPmwwXxXLvzyVpSvjpV8RoqC+43VY8NIOOgbMhnbSrtRMhLKMuJdquWUlBIfSUNAC6Fj2OaSG7Uw
Jk/KrCMblLSdjOpih5N48IZ2/By2CSAHrZdeGjtIp2ILj4yafBiG+QZ/TOwZKjyd1sgYlOfufZsz
Jcy127YYGxZzZh4o7nKKM/cYd9OpKmPVF2MMJbQbDpFWkedWoq3Fy1J6ZW8pW0W2TuDCdX5o07LY
u+hRoAaKBDl7ZxyxryZbtBVfkPXNx2iICUUp8BK2eeLsDObPmyoyznatHWrTqZDYhuHtrKz+VKCQ
2zniaepmOWA3RRICCjn6trSVXblCA6WgiK0/zditd21krCrGmOY0EpI+wNwKnDYYxFET2kW47aJ6
2QhRCOjY+WcS13NfE/RtMCzyTVasoeZ5+CkT48GOmuoi02oO+KZzAHxjm0jG+eoybGSodZuhgCms
6/UdjV8cCCwRQTJh/nN6PFVqaxr7hpGmH/XL575RDa9qyR/qFTPzkrRw/T4sxV4m+hAss3NBNO8S
/2u/NRUQ5sbVroqRcanRcSnT001BNLAoqiLmUppi3xex8WkQKSBoeiiCc0W279oJHmM0EvATtoeQ
rk+Q5OqNebgKCAu08P3AZeyKm1BlY1GbmbknKubZTfRXup2dUKZuo0/tRckV8N2KA3BxLIIlrl9h
oJNaMooaznnr2rf4HzrzqC3M1CjQLTrWqWFpb4xv2Rw/TRH3vJ46JcMT1isz25vZ6IwbMebPY0GM
fehIpKAtmOzamh8n+m06IwTWk1xFRG4alCUJO2laYmLuxx16IFL2cH2GDRYWLY7sE2xaVEgO/O3Z
Kj4sZXjd2NW5n1yC2cviXXb1vW7Eh0J3ToMDQalLTssS73Qa51iJL2qCJ6OcESMiZ0JL2Zh3qFeG
QOP7butJOzkGUx+awQN0UH3D7O15dKN9O5onhJ3vdie2bQrbtRTmpgzz+cim4EVfi7xaW3dtE2oC
OQ/2US7d1pmiieTLRHTdUxHVQ7mdYuJbQao25b2BZuqRVnZkMqFXqWer7dDsDWygn6K0tI5dW2XR
DSD3iBz2WjE/hZGth5eERJ9dTqRg0Lvhk8ZkYmNNOpdGuAbVr/Zms0wHgPqI3keuu4212qC5Cp97
s98vwLbWDOp9vFqmxWqeHmVUeC5+amdZrqcCay4kusXHinST2RFl9mrDzivJ8ZRiZu3xaEeNuG1s
TD/kgW5n2VZ7eL2ZL3B2M+NhnjA81qvlm7t45+ABX9we/BeucNeUpz6dLb+q1BdyHCExrtIkbIHa
iFKi68J2X2eK5Fpb/eaq7s+YjXGxYkYvUPmmh6KkUWyN4kWUQ7wx9L7xhS3PMk1edWfkNJheJ6Fv
i3quyI62dqFpch9mCHOFkn5QJ7KZiUVM9w5GkoLoa5JylcFBfmfJ7TAn77YRQ+LraKgN8J+Z3GgU
bFBvIahkQ43nIx/h+yMoiUNOvybPo22BtIP2iW1GokuoEpAnZjPfGYOq+fmIXlW36zuZkIGG3uIc
4oIuW1USToo30sVBU8f6lRlreWBFytZqGli6omAbW96UeX1F1njhl6r9lDjD54T8i904ZaexmkqP
nuwUwvS1agctrbyeLQQTemcfqxCAe59UW+mqh6p1PjHNlztDhaplK6Xm9TjDCmA1PtEE8MmzAArI
PVGfBhtu880e3GY7Lhy2htOdkhxRNxYom/9w2jZ2czQ7h4ByGeOmacQBxDTnM96rdFgY5cr7LMxf
6l4cdNS8KeK6oVQeU4OPWnUQJfdlx3EzbHMtektcd2+RlFEqfDWsnPduSL5UrXbK9Xj3tYz6t55c
O4i/ric/vMUv+Z/Uk+urvteTiHgNk47E/Gpw+Nn9gEMSGwNkc5Rj3+CF/9kEodSFUcO8gpnFN4j6
75sg3A9Aw8Qq8kU8YSL9/QcSDGvdb/3Qv1FPYlFGLsZ7sQrCe/lLu0EkAit+fozrAUl/GySG8cAM
bZ8UBYjZLIL8wolqUVt44dCTBk5oQ4k0aqMN7rEjktyvaA3xEMwfkMvXuz4hT6PQAG2Vdr5J+uoz
o1xNQ7zaE7ht22WvBIbSP7YY/O/mPBl3dmOH59ic7UPCVsWudcOvxNBcLPJpWdTr8XYS2itH17sK
j2GPvuGq0RONmV9JJSen/g6b2q3AXrw26bCP05EnclYQKYHU18tcNudRD7JwdsHX5vxUzpRuk6hX
SCAV4SZZ7QxOL79ohT4ROzOE0uuKZNjbACm8qOIg74w0YghdaNehjlRj6os1jdwt9kKDXVbx9ovM
mOMhM+NdeJQuOKS8xnBqSL3jJRPhdVLGx6nQ911DlCHbh5cuM+qTHUG5KruB8JIwuSuZoXIuAR9U
0cHYxlqD1PNuIQKQ4X2zccgS9JvYDjeqozxUS3vvNs2+QoV8sOrlphmxbxu2+2TU4nPZlFc1545H
htsR4uUNErwP0bDaVccmGGD/NZV5UHv3YjHOCfRWIXiwAPFeZeXHZMyOdiGfp6Rr/dlV3qfIYXtN
uSiz4ZNVuG9VIeoDpG/pJ0Xn4Cvhz4I1ggkKqXVnKcFLpnUrkcqVN86cPKYqHpgxhyaRFda0URwg
xDkJhd7S4toe2mfHnpCk6GSKRBKpXyRjv8pqpo8uAUcqqYyTY1PTqtOHko8+y3TyQOSgdvggUHDY
pNoCOu9vqhYopCrGZNMsPUiM7uNAzDLcd3MbGtqXCknvNp7i7liwqQix3G2jQgxbezJCfwGCxtvr
ExYatkzELeWNJ7XaCpjlHRSWgbvIyQkuoXY6TKXzPid2YKbtq1GtjxqMFxstaUHB2O071RjkZZUi
lXu/8qsizbZyQbURh1gDGxeVDc0FoM+SRI2S6JNQq30kywYQ92GH188NiLK/NoZwr1vFTTwV13bq
HBRFbnumciTujBeX79ma3X1Vj5R5s7hJc/tJuEQiFbRGo5HMay7PLtVoCEC+t0X3UWSwNEEXNx4t
lbtphcsKFiEjq7NiW6bVRdf7XavkD23UH9I6YllQkXCtt77U5xs9G/ZmD/BEjOvUepqu80zHxKpm
z3EL+c1GtW6rozgktTjrbn4luwo7v9F5DmtZv0xTHDo2I/UIvScVkCYPfSLPei/PWl49Z+DeqFLb
3iPv4wGP9RO92jUp3+YuTv+PvfPYrhvJuvSr9Oo5/gVvBj25uN7SimaCJZEUvA/Yp+8vWF1KkaWS
Ouc5zJQo8AK4ESfO2fvbMCrHRLN9KzKtZVMImqghziClA5hp5lRYNoFZypTfDHbwMAf8fnXVtbhJ
DZYefi7MsxE3drYkiHEXzM1bXRjmSp8z5ppEeqqAPAgUYOrrcVv9XkQPemBci8EgmDHuJgTbrblM
e1yx9OK/Ex97MGPqogjU/5jlBq81MrQ8fppt4y7g2O03HEL8WmQK9ljthh40AvKEU69RXOsKcHpt
dr/bXrcRM2r9uoAjrbf9dRN1m6DQ7/qoPam9Asu1cvdxg+AmcPLrjBxMwqGUfTRk97EloKWKcW9P
RCFJ6QxIVctPwEb7djGksArhws8qIPZiUBZIVsal0mTfAW/foe2lJa2RtWDEEaj4KHltKlwSJf4M
1R3mpemA08Etph6GUJm3goMjp5QQuDzoMCYCK6UXSOK88HYklqLTlS28voPn5f3arJo9IymUKRwo
/LrOJ06hdscRurTWlPSPeaNyWFS/1kAgNqMedb479Ge7y++ZAx9ncILShLAye3PdJOGqL91DXDXb
pA3EduYlQoRvQ1M31c3kaC+zVp2skDV79IwVzdwV8tQ3gdBXjPXXeQxXTsy3s5063zS0J1ziyyAl
rGEcJLhb3TqC1TSkL97zEmDiZeWuaF3jwrXSAj7M5NxVHaph03pLBQtlbNglEzVny5cbVtAcnzRj
ACHWesQCzeRkmcOXjPeWoTjYfGfANtXrMIG85rqx8LzazlxuOM98Ze9sMC1HHf3ZqVyphmFfXECG
oPotfdO0zWOcardA2UErzd695oinJI0CcpLQP7eCVyNzKg57IylwuvvNCNxx01BZ8vt9axJ8vgWj
xzaYaZIkWk9P3JjPTPAspJT1FXveaSBibDHA+BAe6keBKd6olHLl5d0rSQbkUTj1K4ymC6kMrR8o
QYosKThpld2BMpoiEtu8HjE4ks0gQZXBt6z2AxfmiaPyLato3StxuS67cDtZNeN11knSHBZkYtxO
JUfGWEmeQf++SNmkEeWoKgLwUAnO4znobzWLMCXOos5+VhzAtsgMWMQJKac0QsyJ+ttWtPbizSYy
hfx7yjnbZypyGZ0gQ3scHlUjztFoV99dBZIA4J+noVS0lVIzRQsL+2saWdaiCpVHte6C68YtTqzm
rReczD7aRLFpKRyyI3enitSrzwyAS8ApTawynEiA+M8rVfPq6PhPHf1uwZBOhf9eR5/eitfy5Zfu
C/mDP0ppHX2UhqFAxxbHxJA/+qFmNmXXFh0uK69qIpH60ZqllFZVHeqih9kWo9rHtEd4uT/yhv5O
GW1/GoNY6KkM3aE169q0jfFYfGzLOuA0XPy4ykWDKNWJmD3XnN+Cgfc2tTJ70RnqGinEupnYiTYq
C9qN1+TKte70CnuMUxbOTUh7xwV/MRnLrtWaB7o5zvRiKa6QdUO+0KVzP6mlm193500oBYet6Zkb
agyWIOn6H0U8rvpK8daNpj8WVaq+hDWUgFofq3UZYUIaOhgGvaQJiJK/a0jCACaH5rl6pw5I/sAM
SH8/FM4+SYjkGXAPWxF9jRZsQad33wgnUhe9JBpQW+PVBXLgAjuYJPUgd6wVMcL92ZVEhFyu37gY
jU0zgeiYJDmhSRmiEQmwMCbCPFyszQtdkhZmVAm6GNurpC0MDsMie+olmUHTHmKTnGxga+e4DqMl
WvLrZBaEoIF1mFQKT1KhL0SIvbTxsLZdekWmQALuSiqEI/kQpAvF++KdGSHpEfSX1FX7jpQgNHNY
uJIz0VfIjHgsyoWgn4lzh4cmrDR8EUOTk6SKtC8p8yW9okAeez0CtCgl2cKTjIvgHXeRznO8VpQl
rBWEzkTRJBKM0UhExvxOyxhH013SUoShkUTQkxYwloJbYGrVpk+SSl3xYhe7oun7Td5CtwhsxT1h
s2CML1iZUhYo1ilNLlgYQ54yuYRFrGVhw6I2gDBfkXr1lGJ7Icmv+q56eY64OTxmQUS4UTJdMrlM
RqyX0WwtmcmKywRSxM/lomo2bup7BScdpbd3jVx60Z5qhFTjz5HLss4abcqF2mvoh40WsZHmJPmi
cQd5yloIvWMbbvpBN0+9VSn7iaxzrcR2fWW951817Hv410bL8PUWXnCVZOLY1B5NeV60C95je93U
FsciE3KfUpZ0oZkUoyrpNvConzFsLoU6kugHe2U/jLLs6kM0y2bgnqH1rJXce9WV9mgn+XXZdfeB
YpzaykFUoCvVeVLiaadLUCjF3laxiOnMAcjdqWRcrlz3TSjjIc5QX5jOcYpKkHRJtKnHaWXTa+Mz
X9ypOFp5/jz3yoEw5mMe0amJOys4FS7N19yujHUXhbcAH0Niu7JdwykyrXlIbuTsqyFGgcCJc0EH
92tIECpGg/gy9iUxSAWDPkX0Oer32tfsbEfe88ptmq95g98baRIoje82LswOh0MDzhXLpK/2LfHH
unpTtcMyIh7PgZHtDaMPupL6WFCD0cy6dzP1wln6HmuXOy1Sr7SZHXn2PnDn71VNbTp3O4fsFyPP
V7YYDZ+I14OlpD64g6+RbXBC71dtiKIrsdyrNi1u3FJ/9VK+w3lmvAlvujHxky7JPzxNNQmeqelX
PGPUIwBykNwgk/H7WcXMFeQvOM7vBvk+ammya7roai45R1CRQQracR7aOnmJnYHLZ5Z6nRfjeaon
X0dQVQTdUnGhIszKhlyhrYNiIa8I5GrHtWJJIZIev9iYuzIFIyrMmjRyMEiVl6JS3VWhlhvw5Mg+
uvBK5yAQ9+F2xH2BI/XI4GY9ZTGNNZ3s+NGv+YrAsvCDRluanuoHIntrsrcy6G5GfFCJq24nBkrx
UDxatO7bGWa2yTVE45uBfmFYdNsKm6LSous43pijd5cls05EIQiVEhdKbja+F3i8gQGluaOuXS//
PjH0ZYVbM9ny28hd2i5wn7CNdoYGsGFuHlVN7GfLvbXt6tGN2puQxM0ufy2m6q1WibqBd7BwjHhN
TsK6DaYl8ZB4lCfioKJrgwiEsjdu9ICJnSIWeqMuOKstKlXdKl6/dVtlrUbZbWKVR2Fp9w2/qUM6
EAGr1SpQENyr3Zqv4rn13LVmtHsjmLhgvQorbthYtMuyDgpA7vrL0JWP/FOM8iC5Ta1Z+XyTyFiI
Bh8w/Ne2aP0CbzDhCzuKO/SwDqnDTUqEDptEVAW1z/guXXS2s9FF/5B3xbMAPDVVzo4pLAgHAFCl
aLYF9hEVR/FitjwEZP3j0KgPZUMjRdHoTI/rOOi4d94qLASFvsXb6cCu669BHR8qRF+4Cm+z2Nm6
Y3AJjHlXmPm+D7RTVCLYKDoymrLpimwGmrzDohrc66TBy6ONT5WNmK9B2aF77n3Q2Ljv2kvRWjfd
GKrYn9vbzrKWfcVohT7EorCyY2aF4MJrdTEwc2zkQjWXj1MqDnpjbSrYl50Y/MQY/HaQRU9B67m4
b6ppr+nlQdHN6KIEavANJEl2i4V49Gdd7BuGd/MwcF5N2XiSVyY494nI6Q6jXFt4nBlMdLE6+Lyk
pLcRa692riwKUT+mTbQj5OjCegsKo0k3GrYEa5aql8xJ/VnVniKrrdaekd7ljYCbP6ab1NCuktRN
gBpVkopprFGXbwOagIOu5Kt4Lv0eUbcTDqQrT/oyzRDKRcUVg6hNEow0wKbXSkEE3CZfRUP5zf7H
N6Blbtc7q64LVw1WeZ9xGa1tTJoZm8RIm61X3Ne+t9aQ5+mNOOtYHVdFid8LChCn+nFej3lxmER4
aIR1xzwY8TbH0wLTvMDqpET4wcnv5V2nFw/MtdHKXaaI06wMT21TvaDsQ9OIaSPIxlNvMvTIVba/
n0raXwjiP+k63itE4MUkjxPq4MH4+FghiqFpmi4ulIuaM5xMF2V6o9Dk//1FPnZzEbxQhqLE0TTV
gBllSC/gz+oA5uqqjbRBuYzut4YBX/c0lkCUljlkld9f6VcF789Xkr/JT7qfMignbQ64kk6ApTkt
KofgyXlX2l+S7jkubf/3l/vl3ePbhJUABQ8z7Y+X0+m5uUFWhle98iy6Q00qefby+0v86hNRLVMs
S3c3bfGPlwhsgGMeFNorUhbpS3fTtMoihjPhJiZBQRd/iCv7xScyNRlBiiUc/6X96cQgZ9z6pIr4
ChoqJi5QLQDZ0z98pk9iJfk+fLjIJyFiGyjCsgMukmD6Fs0RK/Hy93ftTx9D/vlP70EvZloHIN+u
mOnbSFZTSAzoA35/kU8qzv/4GJ8eTZVOadXnbXw1KsYCya8Xk4sMCcF5ItnapknYtX+44q8+FtoS
5jIWIbYYdT5+rDTGkF4wZbhy6usayEOV7Zzg++8/1a+uAeEKG67Be0AT/uM1AstQbLdvkquijeCJ
Q5HDIZfd//4iv7p1ZF1B3ibyAxfwp4uUQ+Q4cUwUZVM9FfYx4qSYsBh4xF13B5Nh/xBc//6K8p36
SRH4/rB+vuKnh8VcBDG8NqGhGZFJtg+4jP+wGGgf75ylYp/SHBMzA04qGBufdcNtaYKfGrX8Kjk2
O3JH/e4E5nFlXUc3lk8m65r28vr3n+rjJd9XVhbuv+7jp/UOdVQ+4jtMrnob9SvsZ50AAb3c/v4q
v753JreEndOyrU9Py54B4gskvldB7fk6cglX/OHeybv/+emgbeNtw3Mt3dcfX7oK8DAKMmjXDkff
ydWpNp9jk+5akvzhs/zqjv18pU8LHKristEcO7nSrLfIvbaC23r+w/L260tAHtI83HSq8+lVi7W0
d805TK+K4mIhOx1jfaF39h+2ul99hXjZflzl06NPmz4SU8hV4vQlU1D5K6vGXFtp56fiSkk3mfWH
Z/QfHwsSnePgeIZsTVC1+alUIIXGqXKnzK5Ev6mb58Fe1fPN33zRPl2CXtrPy3bRh9zQqM6uhrlY
aApRG8n/48n8/wplAZDITyH1kFgBPfpsHy+RjGOuZJy0rtrsRZkxZMd/eC7/8SpzAeKuSGWxaLwh
+v14AZZOZ9CKOb+izss7RI3JLsanxnjy/V79o24wuWP/vSt7K74WpCJ97VpasOzgYtq9/p///S8w
hfzJH21ZgOuwG/G7vmfqSHn6j7YsBDP+iDiPf+FyWGz+7XV1/wd0Hws4fhaUsXy5/lI4OEB2gLd7
LIPko0md7d9ozQIf5TX4a8WTillsUPwKuD9MAvfUT6+J4ipG2pC6cemY780nLO94UjVTlRk1Is+u
HNr5eO8z62wxGqHn/2ICCls1ek7weFZCG8uPtd48ZVO5z9riJiaOQchcBiMJTq5lnRALQXIguiE0
+nCJvpRddnggYevNi2ndlcRqD3Kwf20RAYHgKaGFQfQF0dbk7XQLxr7JCRCYdHvinTD6QvumA1Yc
kdFm6yHsXW2nwnCM9yQtC3zjmsIZRu1JZFzklZHYDLJVRu92X+2c2Mk3tePt7QyBxZ1BsjoM9nxI
OtK/wI8dmyRun5IhKJZdb+Q64SCkd/iiSw4OrlccuB56gBWmT2UJS7ZJtqSZMeyom1CtVzm1EnOn
YfzW2TnNJTLJncrqfAFXzUXWtEHG9rUKymDpDPV4nbjZsDa6kgQutablx6gI9gFrGe6xiGldGfT3
uhp8UZp5Jxzlpie/ueiHnTkVy14Rx3GwLl5vTwu3sv0m02+mNv7KjAqvlaMgm+hOnVMASqPdQ4MN
Qqan3fSdsrM1fVUE9dkNq++6Aa9YGbZaLPaDnW/DoD6S8HjO9fHclc03dWpvwPNv9cS+TxloRZhD
AtTVdtSDnMiq26ya8XjFIDnVzWC1N42gUzYOu8Q2H3IHEJvnfvXcdp8lA4PM3NDB9XwvtHJlZvYZ
EeJqAApJNDyd0PYUxO0V2sKnpp2XsuVWMZEqnOg8lzndxWnhWQzpWnPbjvrDPJSnnn4V0+0zz9Kv
kmHtRdE5Ccpza3iH2bDW9PL3iZVssJw848hZwyQ9VYb4FpYc0uWjDx0yphvwJ7m2QWJx1PpWLDpP
PXd6tJzq5NzY+nU9DT5j6HsrMnZZIp9wR65Smu9ajdxOWiFeUL95Zuv3RfZAK+eeZLQbESnroLKO
humu9S4/q0mf4QnUjoM5fuv5Jegla8CgtWPQoxFwNJQr4hg6GnLm8TCM0a5skcK4U/PWOPpN7403
zYTLLgh769qxmk1sD9HZDszTZOn5pUFfvcvTrIZLp5fAhCRccGGN9YUD73HQeKU64J1Z3yp4+YZq
WbXe6xSOZxpESzM3jkStX481GVRjFS/7LHOWRl0/k/3B62fYDCyDDYyJaa0YwfPcZKcBzMWa9Lu7
lEmxoRgIWkzRrnRi+Whd0rcwcprmStSMftUrxUqPtBNqyBsTKa2P5Bmn4cgTB/R2lVTKpkX1TfVY
ItdJFZhVTrJGDnsSSbeBH+pbgLlxSncr3g6elq6Lhde1V+C1J78wMWQbM+F5U3vI8vhiBunRqCVD
WsYQ1edKx7E31PlLZeY8jFlZ6gMd4SSgnRYL+9rK3F0pEoP4LQDXhUzgCeYRYkvSIX3UKTQjePZJ
XB0JbQWOIRQfrt6joJOxgHvS+0o+nzvNOI1p/GobMEcUV9/Sn0KVE6MURix1Yxf6F0FTWbHCrat0
2Tpj2uOr8XCyGGhBzmYFoByofK8CYK/XQbdgZFOvk246lrWGDd+IL1gd73u7I7g5Gu9CG3aNlD4V
CmZeN73A9dH8qCZwkZgIuD9Eanhx5C0Y1Q7HmTnDIbLwEf+z9/9rImv8bu8/4Rl9+c9tX+eH/r3t
v2OdXVoyMh2LwSt/9PO2bzmQL3QcTHLo+mPbB+vMqQOjp4UERHozf+z678BnGaZuEJvi6ipREn9j
15eU04+bvgmEnhpCI6sSt847nOKntkRd1uhooyS6qjumFtv6HZ5sORcNKm8jRfiSrEyIyQB/p6uA
3+L8kPzlCY9fs3bVXBO3wzujeXDbLSRiI/jKkpioq4HgYYUvpEkCi8ZgjAA9vHfhlZkWMF4WtRlV
oGo6tIQESlpzhloNWQF2cawRBq6ZCQkUzV4UgsBups6ZMaLGIC+dd8hnlljKwhjZgLd12HgJCQ8t
qqp6yJpL+I4I7Qx4kasQgCruA9fGNSEholbsic0/r/77qy9P1f+97H0iMOc/33z5M/9+85H00uQg
fVcjFdIzP7z5+v8g9oWMRv0qsWofCl6ovJxTLExgGm05TpF/UdXozai2i00ZFa4E/f6NVx/V7ud3
nxamjRMNNjDGahAvH89FAnNzAURlvIDQxQvlEswVNHdCh0CU6JNYzlpRgjjSsosu8vy2BQmyxVfW
bTsaury6tNQxLAheZeNsOKa6Elk++pOTvBnwIX1B3+wQ1f03rxuqu3Iq21VaZ+MVLmtsWnnh+B4O
nDuz7XHOEnYkCm/ZAwa85GFNu2kgwU0LnWLTsXKsQuYtS6Ld7vMZkFeWGd0mIY2DqnJnTO5dWHfN
ejQTfUl1G1+yeMx90/aeQf4OW29wvxSzHt/XJrVSpE/FWuCF8JW0GBGzZhjzNTdYj6rwtnUJGioc
dIauuZdvhwpCWhYagGMKcIRh6DyWEBKl7x35cpcfO4S3qac8DRbiZVF2YCKtBPVhtVc7c5U6IcP6
sN+njXJAoPaFu3kqS8S8hLkjb0DMxj4bPVu9+XW0Pc4AQ/lAeMhDYxUwqaJwoM6Jb4XJ6MPIFHth
FJrj22G4Tee+3ip2/kauW8Zc2N7bDbs70Skd1WGSrAU77DoKBpWp0vzEgyZZ165uSyU4myB/3Rmo
S4Cq0ayM12Bqr5S26I+py9y0ISkCBJ57NmYGj3Mwn62SRyqqcUkFiHrU+Ea1TN2ZvihBhUQ0ivZp
Nl5sxrXoEBnkanJ8rwz6zqJtijxqxLIXehcSHiHQ5SaTWPtYjrm7Kh0jWFha9FSF87VpmgcUoRHQ
4ZmG4DtKATEiyKs6dS8GEg7jm8oRcdo5AkU3RJmD8h6S02hNuMwsxHSRY70pREzEnWvSrZjW77jR
wCNvR+2zfS8TeByZxQMj5siug5ee8Dni66C4hZLnNgF2c2vK2Vay3hrLYiLtEtBuAoKr9cokOQQ2
XJyTZliCi1MlN47DIjdZsuSUCapcKPlyA19wX+VNNcLqJpMMuj42d+SutECM4dMVklRHGYjBHCdY
Iyl2RB/kSz0Y/FkS7gxQd9Okb2PJvkst664BhqdLKp4DHg+P6RmxCaHypmUvcsnQc4DpMfWG0CYm
pOcupL1KMvfGxrztJYUvENaROovKShL6SO3YN/Cn9xrwPpxouP7KmKcE1y8zHlstuChDiP0E6xjp
zRvxzgL08mYDA4JtEVCLCy8wghvokpgNst6jNHaApqB7qKJ2PzpDtUsVx11msaZdoKgYywBD9A2i
uHBfmAzyGdSc+1ohacazV/rkzYhjORsYFGzYUMbrSWOaOtVVuq+n2QVWqAdbtRbmyqWvu5nCwFuq
St3uqro4hJHKDD/sjH1rh/O+TjRlY5a1uirr6tpW0DvO6bRX1PCxUnLjSk9i1A9Jke4U4p/9KK32
CiPVcAwDtKHVU43I4Htb5NJN2ZnXTpK8zWiJCEbwDETR/+yf7/un3Lr++/55Wxblr0wx8qd+7KAy
NswBkIZHXw6/fm4ZGf/DCJOGEvhievuyQvyrZeRi+mDHdTQTGPnHHZQOCDvnv4SBRIr9nR3UdD9W
j7LZT4lKeBmZz2zKVLIfd1COdxnSuQTdjGE10dpyOX2x33YvTULcqZmOC1XS9pQAI2mieV8CwUgl
QKa9JF7wG02lW4xs3kJX9SVHdHgvgPw6Rd21gP1SSfhrJOuPvhO8KACAzNWfBwckYMvB7UD2xI7c
It+Y44tBynsORRBT5EJrmFB3EjDYT3O5gOG2LWAPzpDfHViEYrAJOIdOmEpMYRYPN7ohnjwJMETK
fE0ws7YoAV0oEnIYSNwhFoR1GNiHLHnMACIOkoxIN+GmlazEpm59LbcOTMIzotzBe0iuolqZl0iS
FlWQizPoxb7oDm4bvFYelBjdftYlo9HkJA3RPEBjDL8x1NlGATq2kuzYTOW0GIA9zm3zJQb+SAAH
naTKqDFxZPeQ1l47SYosQUamqXuaJENS4zMEQCXjufraSspkH6TxapDkyUiHQVkAowxGRPKNm9/D
c7+03fCcS25lCsBydOuNeCdaUpws6KatXWCXdUAonI4gUaLKugEe5jR7XxLbW3eDdRoQAauSnNmC
0CwkS7MHqukC1xwkZXMAtxlHaJwA7CeL2ku/1JLJmabi0QLSOdg101aJ7QTfiaI1PEZpePYiM1oW
ID455wsfLdK2DZB9tWBAdXCgIO9i33WER5+qq1bQp1+L0LkNg2kDKW3ELpPvJ5lk1BnK20i00QzC
307EA/9vW8jsI7N32XplHlKUCIaKMiGJqCT2ZJmb5Dn50qYiXUYyU8khXCnX6m3iNBu7x1ckZP4S
f/GkdfWqKilgVJnR1BPWpBHalBDeZE7axgsBQ1fEOrUgYXxRlpDCiXzqZPYTMbZrU6ZBIeBeTbIj
R4fX9VMio6r37CiZIqUTJ6UTK5VaJlQbcGQp0ngzHfaJTKCKmuncEEmlEk0lZkvQaZAa2C4sm4eo
EJKkLTWytpTL6si6kM66UkarVl59075ra/G9rgVq25ToGzaX4Hsajm+BxRAyIhW5kMIOpxi/tHbz
TaQgoKqyvHZCb4MY41pjzOu6ueVTWy+rEaS34fQQoFSOhJY4a+Dy+HDVqnZoQBpjsi3FiMQqIPnC
y5wZxVyb+6BjlqIcUeJPFH/6sh7HZzdwIaFO9zxouGGJspti5VjUKM1TZVfQ/LEpLsIkW3pKsIXw
BAEOVcDo4loz571RiQetbmhOkomu5+O6B0OFdYN4grhGl59CyBudzQBtF78OD+SLaJLNNHbrzkUc
lHdQdvGy0cpdTjDnoth7zBMkKG0THXuA8cu5jj00NEj75xTAQK3CkvBe2sHkSzD50+jIDGZvaVTT
yeyS3dDQbs51tYHKM/BsLTrQnB7aBjt+f0lGRK6JeafGIQTSqTnOKX1S0ypWJs5z/CUckgnmWWup
emt1wVttUwXTztkJmOZ+6/RbjgeYeWoQ7kaOp37uDxFArCS2ZDuy9yOzOw1OcSD7GmQwdh0zdJ84
OaCndLcdZoZmUjee013Fdv+g6tVOasFQPzorcFysf2PBqcgub4zOE348NxdThTMYJtuMBZCg7nNg
z3ccGBa1Lq4DvdtjXucIbqHTJBRqnvW1bTf0BLVdWcLwavGxsQoba88SB1Iy1i5pH743KViQ1G9Z
0OpSGvuM9RzLOLjMneaEV1qBZCYMr7EBHekE9P484+2ygcep9LCIRCIMuQqTFfZgDwCfRURrNF5x
VlinaNLoynw39Hld5DAebYIkCB1cA+kCq6ag6RXVlXDc+zHuIj+3aNCPueWtxkTPHlNke8uw6r8n
bXeIRhWzSrFD6XyMvLZfdE1806FT1OPmuxVOSLK06gzVbl0n832qodW2SMBiBV61hXXdKAHEZ9V7
UuzmYazp6uZRtWi7HENH5fpCiw56ShbhKE9e4cEUNBYDc9ox2wYyrAX1JI8Mbfqlz5QhXWpKQXN4
Rgbnju4qU+Odbkl885DPy7GMXs3e6JYTMuxl22hfPez0WgPMinIhXIa6RkWMTCcw6u+O6FEyi/RE
pBbL5TQWSxR9D2WiY/nWb2jUDJjuzMUYtS8WOQlC9fbE9V1ae9zNWML8xtGkaK+4HyflC9OduyzG
KkWc17Ki6qVnPVz6FICUObu3M6L2ZdYl3XWD62hlZQ6IgEINFnbQc2rONaOP/kA5ehc7fZhoOTbW
TXkmopcgJSofy5O2ZtI1eYZ30W7zxSMJ71e1j9re977e3bSnch+vSl9s4yPxUctoCxiPSMktmeT/
NIj+Nd2UHpHfFLgEhhy7uP1fl2+wF37RK5I//u9K9z2oWuc5ebpKd8ekFfpTl5ThiIr/BNyvQZfy
r0rXwuPNz/zgAPNT/+4VwQimgQq/V2oDbDqbf6vS/dwpwkTj4j00df495DSfVAAN5W2LPC28gMHA
VIL0/U8ywc/AInhZjP7BGlvodDTHfTfA/6w0yLVS9apsGs9h6uyKqGOj0fWkWTv5eBoN0vHQPU3t
Zp76ZGUrFXWxBhrvVge5UC5dZgonp3G8loyOoD51DfQUP+8Muz7ZtoIO1Gw7NkUVDO68akmJL6tB
rbYpPoVVo+ARHIkr2RDWpq8GdJObJiK7rS2HZGPYFcf73r5KnEIq73JsCGXI3AkMub4KmZUosJOG
ubyFxhd9zxPRrw0tDubEd1tVWXnZZOo0XzL+a6VVJnTayMxV41Zgu0n8qh7razHyW8Ro4mdSWel/
RI9GpbHsRkDfMwVmsJfujL7e9I59HDob9bZQzsRIfbFS46722tsmnY9h0X+xLUpX18bWl8bmsW7M
VWjWxwjFg4YwZaehLMWLZx/AfBBLSoVE7ikuI9ipKp6MuZz2wI2eqiRBs52xG6tlfWliO9l6RQTd
Rf0W2eAEowrHhknvBfei9hZlJSpnyE9TCTuRnAFi5tiQ12IcKbmNYD5AATn0gbIZIX4IJQ43DNEb
LJIE7c4USUN8ygfLWAWGCdsSn+k8NztQMzeRVWebhAV2ic5/10CZQeau7Yp2bFAA57dlIw4RQ9aF
gsr+ZepTXOhNOMBGpO8BtmUxavhDyY+hPCzQtga7sao5bJA3DvxNophdn6YUHaAwsW4tk8aJMYJn
aQtGVkXg6cs8MIWvTuJU273ih16z69Nx2pSZ+mba3SsHH3fTZHZ+MDymVosoteLrqnDzpTaaMRzq
FJ20Q6SYh7l3w4nghWpzN9vKWWjOPaPRTRYBB2K4icnU9TtDO865e90XBbRJfZk0wQr4q5/bQ7od
Mn3jDoI60eDGW4W0lvYP2szppbLCJfz4Z7qup1IVBkSQcW9l6tXMP9prxSmnlppNMh8r5aveam+K
Mu5Kcz4aAYZc58sYPJfuvHdysP8WVqzGse7rWVtEPSPajk6NgEBi5unRwt0dBonmA+ZGTpB6T1mo
P0l5xrIZtKNnFiGtrwtTCvxCkR/NHeemuV47kXLnju29CRJnDNNxaUUMQvpKWqkYz+Z9fCDobMde
RsOx175USnRHfX1P3uYCV/LakRN6Z9zXnrIfiTyGj2zT5PE2mc0g0nXapVFq3c7sTHFjDsmez3ew
EvXZ6NBHTEaGxr3kfK4bFXHI5phuRyXXn8rBdR5bt+ScO05TcJ+LIL0ZAwfr0ZhpKxPXF95UES1r
JUUZL5OwEXjBTNIJ9hz4WlAUW/G5M6U1O2t6MMUdtle+YezKVIWewPFWB+63GUYXRbn9RWl1e9W3
9jnAvrCi/dovhOm1vMzkFvdTlx0IQwv9ULduhIoC06ihWYZ4zhbQCmkgT7d5lQ4L7GLMtas2XKee
+WjbtwlPfll3CmqBsS32rpHZp4AIy9U4UxAjKflmotujNp0ivnIez8i6UzFkcB8nzLRTeExybcbS
ElynovwGxslPgmTpJtBhEY3cBjZP2aieyfEjdCnZ9on4ji7wArc9oTWAPN0Ysic96daR7TyXlLQd
AN6FqdUyNgqtlWgLd5HITLTAWk4E9CWZs0pq/ZXT97ipYCckRf/UG8HGMgXIoLh7RgayrhoeczqQ
1eI8aEX7xeqKB0srOS6Mye2YTcfCG7aiJuVTGZKHMJp28cBXdBxPPaGAYKaxqWf2jRDzxWrtJyjA
5zIxfdfsHwZaNdpADeTM/fr/sncey5EjWdN9lf8FUBYAAmqbiVRMJrWsDYwSWms8/X+C9VV3tRqz
3vdizMZ6hs0qMhG44df9+CBxM0yiWfPb2BR2+p2LDrbhxN7JhFjWlNVI6258CNsp2kQm/tvEsm/B
b/ETzHS6vgvnrh7is85kZ0f64Jk3wbEOSsADcXEVA6Hal0n4aBEsgfnW7C3mUY4bX+unk1nwt88j
5xxq2R6o6RkAq2evQvIhJlGxzwbcvE9zSitasp25kb7gVPKtMd732TKuCPm9kD0+42ftxws93J7h
ncl+vm4rwR9TttDPtX1j2d8DUR2GOVP4uNsAQiya27JtJy6VeRxdCTl9BmK0AFMX34XEAGAQWves
DAWkvsuLbsGkUe5JhNZ7QkjzOX2UfmIY59wFvtu0xovGRFc3yo7bBnyTUsrxiuQI19iGTtzUbZ4K
EQFFFu6l8EikjkVdH1vuONiCoJRbtv0WZ1ru46LWnsbK5vPCqmcDVC5YmTLO3smsOr5h5pHtj9D7
IeH9S6M1I4jykhlIihaCw1+s9npq6Ug/gXaRwM5NH1LvVVo/ZuF/NDuqkfv3kVxNOX/8FsrY+8u+
eeZTbKc930JQXGg7l311ief6lzHz6se/7ddKhT/u9X5+DzogmA3Zq5t/UiVhc8yoinF4KYguus7l
gkVquiNw+r+/zR/9cj++DeIq+TbThk0k0G1//auEZUJwMx3Cyz7H+IU61xo8h/V9L6/GQV/ZbQMb
7kc45j+LpcEH4Z+vEie08r/umtXX/HZ/cL4R48HcivKNKVxZKX7eH7hacAFk1UwbCC1eFh+X35Vy
B3AszkpgpQ46Or/Cn/cH5xvZeUZ+vJoefSL6vzNXeuoz9/vnXpkrAZLatJiw8OZG6vzpM9kuvOh7
q7cvAJss5zU94BUJRzeqpa9N4bAomkMPU05Dz8wY5ynRJLSd43Tq4+QrpCqyE/QlgWHKCPke4Rqy
hiaJHPYyIboHK4mt2TJa8FtG7FLh49iDUQRsEkoooqmjedWhxeNWoSFZ9oQU6YCWi7Qy3GIj09b9
VDwagigqbIB9VzjsANuB5fYALh2vVk7uRmu3QS/uksI4NYVNQ0dOkcMsboqZvaLOyLditQuoMz8W
dXCuj9PDDL6aWhAG16rKGb8OWR6SUAyZfJiq43XqMJxmLMtWsUsarQ8WEPDTgmPQu9LF0MPINIHX
tOmqmvCSkXCo/DF3zxoScsbUTX7cD0/dZIGMC7NjHgteJeV8hdQ0b0d7gP7es+gOhrqjfnSZ/LQj
kQhsfNnMVkPeWBgb6h9mnxIDgK/u8K7J6Qj5D7Ic0w/1h/r7NFXlurfaLcUo+5iJHK0iO09co1rH
TfPQW0Bskno8Zzbo10M8GEwI5i1Xqm3t9MY2SAMMXTlzQBNUB/IYvGhleZEY5U1dj2sc7McYiSSa
kHoGt2ZcrjcMQq9yZs3eRIOPRgsyKvWzSGrroQrPZMBlqXIh4QULb6luSlZNVqZbd3ZgoJrdKdcW
HflLVRNQ1cHF57EvAKnDBoK+N5uxr9nhFdYZ8PUIe3rdnSl366oWzWNYKq5Iah3nWb/twmljT9mA
Q0/H35rccMM6jy3TTx3YUzbNWpAeeaFWEjG2SYNoLSbvSlilw9hnfpSZ3u71qmzXVlFeWHrR7SKu
RYWZ3hPpeMiTmj1LfalFFcFXD21WZvh43CyB/Zo/jKxOVQlNL8xnUWG0dBJrN4zZ7ZRa3HHV20Ol
oyOXmNPcJjBMhREdq4oksuktlLOP42PBxop3dPc4BeODLlu8FlxIKIPfFZF3mbQW1j7C+VYHrJFR
Ce7suO6dtKIwT6eHBxai2fW3QbKQQqRikgRuyAgkw33d1Te9vTyT7f5eW21MI8KcMC/F9SYZpL6W
or8fYpLPekqXTGlHTOTlmXC8F5rFuNOGtUFbln5LomobN/KuasVOM8urkQU1XkHzlteN67uRAGk6
aRcYkk+xU2lrM423U5xBesAXUujzSx4u0z6dw30/NBJCjutRvJUWvpln5bbrCowPrJjwAwMUmxb3
6IkZRK5OPFQszXlsAw0b4VQGRsZa2eMPbGvjNmvnS12XJLkjyJgNxknHuSe1HJ2hI2YbW58+0ti7
SSRAONtkPNGzCQTsMn+OQ07R/UB7RxDSB2qAAVlXbUc9iQOyP8j6Wyj8fHRoXFphz4bbW8UzKfLS
Wssy2rOBeLGjrth0tirZs71Tb9UnbNwwhSbTLycq6egL4wMF/3SBg9rAQw3LeM+e77n4AqVG9cFR
6NQKhqpQMFWXrlCfrAvhckMewo4SIxzntK4YyYnr6dkMYmeGzoo9iNhycMyz5BB19W0Q1Z+dwrkC
Iz6f4buiudxVCvhqznO9YpSzjx7nImcj6WWYbhtHoWITmLGFgsc6CiObtdg7FFh2VIjZeBgfPAWd
7UuNZ1qBaIs4fZ7MzuRxnLapgtVSVU9j4GTAD4Zka4wfowLbYtWIN8Usj5GdP08zP1HdI5PNdZhy
mfKhUUsms9UeDPhLUQgBdk4dIs8mwe+2fPMMiVdXfA46H4aqsO+qhl8YPHzTt7Ku5Ygo6m2dO1cD
iOrQDHRQp6NGz9NwAd/ghr8qOJTocsklcR6pqgEGzVgtYJvBL7JrcsWhL1OgC8CVDnJElKqCp8ih
T6TJ4o8cky1ejxHaPSGafZsO99wgljU50mWlei0whXwNB/9NSQYDyj9PSRcfw8v7y9/MSXzVzznJ
UJgf4tXAfxhblSz625yEXY9FviBlK02XMeWXOcn7RmYFkwHVBaqyWccp93NOAgMvkGAV1B2ukGH9
G5nVNNXM/IcxyQGhogZ3BiC+oRrIfp2pqTepTCuI50uujebsYJcKZk5EusynhW4GMXMh94zi3F2y
G3eWr3OVaWuH991qjDJc2HGLE4jVcJt6l6bgSZo0+xVg5ynrvYdlqe/NsfgkQL+tNbuigNd5zqq8
grtnG9yGl50w8nPy+iwDg8FbpYt5MQqWvpkt5KrmSmSH9rI1QXaqtQz9XUC0SsN6SjPKBeflVQto
aEMW2o91f5/G3VXjyYvYDfQdIvVtnk40fE3hRTB0Z+U4sLTU2qPuYi+fCli0U8nfefETOsDoXj70
LvAwG+x8YhXbItIe+ypmXWOtSAtdZPTrLHAl/cKBzRkULanysfd5A21rFzaR2fG4Sf2dd/5lm+r2
Kozr+XbhfhkPAe1CVQvHcaJrJDHjNTh5PE2FRrG1Zj3nC2VImNkccNgiO3PK2PPrUW8ZVPH+OyW6
yDj4mVRtTjN9sCPOJVPnaIchslka64Fjl21ryIvtlu0ilqpVb5VMdxNLrOVeH0ekYZhFNWVXdSei
TYZk3FxMbBYxGUdhJv2gXHImz/jctYdN2s47kU37ZRzsTQ9gZZWE4W4SLA8d1aYdWPq9dDATg+f5
qLC6ZaL1VgSuvy+Sjlzi4+MqCvr7rii+x9lHE1hnGL7KlSXbw9z3VOCBiLeTYl8ayNV4oSyGsOHk
qd7ndDaPUSQeZ2mf5VWVsiacX+CF1vcyhyuSyxtdH7BljAeMzLspSQJGxICRNQ72pJWBbdbmce4p
0vI0sByzBgwPhfNBG+DV2LW2HT0D/Xlg2OYV7QbjYfGsdCXKik1wWPge+Z71UFe7OIagKJzlqjAC
skIwHjR05qbpH5Yse8ws47M0+ZnhenkSbkk3XHoPLuQ5zJurKeJonjpElGJ5apsCxwLv2mBKnDWM
/U0xdWd5TzWekSxPA0CcQq9fujnekEo7MtL4elw92/HY+QEi1zoVRY3Yl931srmPWpa9VS9b/mjp
EWLVplq4YHTOc+3V3arp7VNTOTdLxILcBBMOkAioHyClvv9uueGNwZTi6MUlkIbLqRIez9hiMFsz
+Nd2wUJ8uDBMVL7iPWVw6wcKpdox2JUxtk4vkwxp1sz22vJdQbDFo3iN790+LRQ6rdHsXvIAarUl
UjTsFlw8Yi3TyXxHszYWwTJDjGqcu6IIjwBHnhc3OmXedG0aREZEipJUe+9BLvZUqfMxAuQ60APZ
t4Fi1EybIDE+rERWPFD6HR/jJ6fDvK6TOupiQCee+e4t6NqJRp94AAw0b3W5ZiyiHy9AXs9sIhlu
1+grK52yKyI9N2nKuRLNFT1aA9U8+ayP28L2XqegeyHRcxWwvuDCYAU+CxxuFXPtbZrEOlZuK68W
EyTiXEbFNbed5LYq9LdgNllFpMv9Upbn5hK+6oUOq7if93ngaRvsEBcR3fKrFsPids5cRPe0+ygr
NkS9Q+iuSSuFfqqpU6WmYEUGkbCOleGKkpgVdOfYGfpZ3OuHKOpumhAXjBjNg73Ii6nXjmXO3zJO
ax8ooUAF16RPONhPopz8lyN/iDH/vfJV1/c/v/Jv2bH68Uf4N+qI+sKfb33d/iZcXWALxHLPcpH3
92/qiPON161LrZj1f3vS39QRHIb83w1YQQLOlfDQVH6+9Q3MhzjnSaXCAUFc+VfqCKnVP732FZ+b
InXmASk9nUT3H1/7cZJEbQTV96SDoo7w4dVdSPjDttKzPM7HipfzsDjNsJKiMoDeFxRp9sQnw6gI
z02UDDCVqqoC97GovydOputXvLEg3yQDz9OqHQrvMi+75Sw0+yw+1N1s3CEnadZBb0WjQbPFD5IH
ZnCWzja0ZCNlYXUbOxwyxyVcsvbNK0J7PGHooWcIfPZusIvsg0eN610RAx/tpdsnO5Fgm/Nq3Dc3
XT13B5kZrbai+SFdNoGYe15JDoeUU0fiaNCcQI8Ea5x1UdBQHk0wzZq66Ta9mOOj1c3yPAiWCrMh
CCzix1xaV7IOGFMciWSQsiS+igzrhc60704avhG1zDeEirBW2dZH1eUfNqWfUAzzWr4DOlrTLLs2
6nA8FIuwtl2q9d9HJprVYIg4Xo8pTYAAp9lhxp37qGtx5Xuk+t4m/EF7yg6MQwSZ9FxLjXyf6o1z
4dQ9TpCqqndSeRGbgYhArkIFllvRFtbgWvNgofLLrXybXSME7QBtKz+6vQeHImgcQovWckglF32K
ZtHm8bTh1cpXTaigu7ObrMu2J7tKU2jleh+uZGfoDss+0xnwktjezcGI+60l7RYGXIEhPj1JwFd+
Oi6UDtL/Su3pxAZvQmZvxovUJNBHFdvEQtqa/MYCxJhQ+3dJKXx6q7GGvaHUtvhIhGzO8jouHrnQ
N2s8Q+DDhuSHQ+W/U0vdK/751LpsXiiH/puLyq+GEARYpc0iBRAgAuX/y5HlfmN0tQzuJMTGibH8
Luia37Ax2Yit0E9/lEj9dmSZKn1v8x/+tcpM/a+sz393ZOG+hg2CK8UAGfNljf5lkVHb+gy9XQQn
0tQ0gCxZ6hEJ4onWplocC6el60NTT7xMorM4mJ/dUF8g9idv5kB7JJ+00dmj9ebDpjbJ7IqqrrCe
xZiekYDLh7Ah0b2G4tqGq4KhACRibBuMmmbzIqkS/eh6ETRbo7AYo1uevgKKdcFUt41QjGuySC2J
1ayR9Mk0JAzOUAc9yuoRar76mtO4guKdqBrnqWk+NUr+mERQR6w4GFYRrc+BSyDVVhqcZpL1ACGJ
92UOEaPpi856/bKiP7q1xGlZxmvdXM4j+qWBfpzLMsNuER0mTCBry27YaeuUUuMBJNHayui8kvZO
VNpVwqRyUwXusVOl1raqtw69llKQtqQcGa/bZrZZ2zaVlvicNZdT115q6eSuxlBS6yO585TluIFw
bnsMVJ2GJGvOzWdqdreYUW+pXsajOmRdcaXVIA1Mid5VV9uwsqMnqqzWDodSwFoRmBluCbOMPp02
TNZG5YQkmMlcePAAZjO/1Wxr3FYuM61T4/trGvrCalWnDbJ2QoIlKOzYvqEX0eUQjlwCqgRgAaJx
N2nljc1a0bNB1omZnbbHeVYZpJdj7cQKdTvYhHfnvpL3LRZTBi/goExjW5FBz+F6uqY3m6qEyqme
raAnvKNrXowlxwjbdTtjYP3lUfyb7dlfNnQ8cMQJbNcj/y+os/zjuzgR0ShSr00uDBFVWzMbjRea
Ld31OPPC+U+o+eGMMziT/vn8u8pe3j6avzn/+KqfI9uXUINcZ9u2JeAcocb8HNkQauC5oNLYRIrV
PPf7+ed9gzVnqg0YICtdsLX67fxzvzlY1yT4ZyBqhKn+Vb8e6+A/jWwWVBIFmEP4MQwFzfrjx2SY
x0F20hkvuwkXqezSx3KYb6hDoqHICy/xzCdvPGLFKp7NOxROrvxwzW9dZ/zUIrHFsynRJzVqtunj
EdSrwESmOoqy69cmxOQ9ZU6zovP1RnpZiHxSBruRWYKuPVyqlfPam/GtPSyPUd7ZayNDVSWetsb/
ymziVGdm1WIWcJRc6xXbJTNu+V7+2GFYbdAyUYQpaEkY2dbBYp9gl9/j2AOon4bvSeue8L5cCzld
RmG7Lx2utFwbr41IiC2thyxEaGCeDKfcKLTgyjGwYAFhVLc7Zj0KKmrM3yhw0AYqfa/DpN56nYp/
Mldt+rkyN2Ya7GxWNKvSzDk0K3nXeAxqs+f3prnp2Qes6gZmG0m7w6Jj2eiKyMVDvDxY3nvO5NsY
06lt8zNn6J6oFY/BXoBQkSYVRv2MKmUPdF1Z0/wxiPIw6M7WMTU4yiJ6CHUOeQqf1pmbUbDGYi+M
l31iOLChGekk9puyeSg167Xvac4t052WLr6N463Ge0bP9DXRhGIVWvaNy08oiKk70EqqmrLsopHe
jR2L13QiEgglkMutwFfjOeN9bsjnxPUuOFuhaAwUjVS9jsdkco564t7RMlis7UWQECVZOhbUpZnB
fTU1FxV3ybCBeNFm2YfUou/ToN1VZn8+RdMNtsetsLUnfE5vbI/QxuiSWjdV6CBPl+7GaLE5z/Ot
6KmPqqV34td0PiaOzzvRD+SnXlmbwFAldf2yrZyShhdJf2IELTdx8eCHzm5JHGvVFOV3s7CfTcru
1jRQvdDvwedLJ6hLaQreJZzh+pC9w/B49BoTlAb93Hpmn/X2vC/t7n3QwNkYkXlnkakJOfrZ99as
OBlegXNNyr4WrRptTnwt6unxMok0CPIySccPaUGaW1mILSuJL7uzq41H3Qjr4YZuEmyUZwG+8Quj
Lx+m9pkabpNn7jmHbFrONKtFIW8U6vJY4czR9Tw23iGg7XpVOu20k6rGR/SjXPe1nrB5jLi0a9Un
iczOgxdSdwgKUZDMmy5P6+V++FLyrGFy0djCIJW3RWCii2mh+RDLBJwLSiB0uGUVoA1OBS0knlIL
3YRXeOHt2GoiJOJ+JYfVZGdxJZ0NxkR9U43mczlY5LSUgpRFfKTpH7RX0cT0bREh0oiLhK433boV
uiWh28spWt7Vu5dEpeszoW8FCmifYjBdJj3Ax+RGPhu6beY4F5OkuwH9dBHuY4yeGrkW3UQorHbX
HWIU10bQTYkCm8X9tlKq24I2W1YtgxdqreSieZGh36bSvuWnq+9qlN02QV1D6fVQfBtTMr0E42tr
y4eyNJ9y4WQg22usXjRC1vWybEF7PViRWpMv3HKJv1+MSmYulOCcRtm54GrHPzVYJ+IZq/FBVUqm
Nmpt05jp54x+XSXOQ1XHJwa7V+g49GDnzqWN4m33peB2GJnKNEe9UhdqaxHor2JKblwUc355SOcJ
jqkude7zYRh5QqDPWKNLFwj+PFspNAjzcBYQbeCgsETi0XOQc9rIOLRK34kReliVI3bqZ7iYjxRN
nYPtB2WrtKGMWjjar+jIpFMCcJPjJiBldG6+yEpaRBNh6dUks3svxg4gLnCYanSEoEcZCFNLGLxQ
TEMEbLnXlHKlT/MbPazJ7Ux14LoZx33VSoIs8PB9J6zfxpL2Ia2hNgip6T52CdtX1RvtQR0GQpHf
TQVx/cK4h2uer4OK3wYFU/R6psInZsSxMR6cvAqIFvb7KuHtUHVsykbukHnGZ63NCbitMtxYDfxg
fUbdykKyObbXAo3uWu+7kbedc/oaBP67ESqs3f+aiPr8pf3rRKS+6teJiHYKArFf84vLRPLrROQ5
LKHAQaqEAMPI/1l8VEMcGVWdVRKK1Y975E8Ri60W2DTULwPgGdDKf7e7ctRg/IfdlSr74UrKRAS4
3JR/GpxlFBa4vWf90mIvm+7jYTDY49TpKQmIXi3ttRstj9w2eJ67bAcQ4FGLo3aVU1ZjleHOUzSC
mCOm4Ta0Mcvm2h7KnUe1UA/4yM6ngwlHYOn3VqI9l2HIoc8pFl7qkKhOJdW3a9AAnu/oy7RKWxtS
0Ly8s6XBANyzUoD9/wy4JWNk0ajxGbtnYFr7EXndN63hCn3f3NSFFvO/i+MysB82TPMEJY5woJM9
FFqPT7kRH3FFa9divLtUv/tln9K0Zky3uTtxhE3yeZy1x2aR3IqWmk2Wjf968S4Ke56PmkxvuDUr
in++rCb8tdxC+D/SWMe9huTo0r41g+4D8sb6bcQA2QKJBT1qapz55ptIn1D7o9bG/ix4J4wNL2k4
vYHTNT5H6CwRDsFYcV2mn96v4L8cmpaA3ose075LBV6T76NiiFivF+keQ1bN6kkjDienasNlmv2i
8KZNa9BVzJaCyIExNPrajhEe53DsrqO51vmLZc31UJoJdiawsJwr/KhUBV7bcCmNajpd8wI3S17b
T+XScGUnloqZWrorYnDpplOvWFyn+SbwAmtnO+N8zWdTrpI+EX4yktsr7fLMy9Q6B/vIKbBE4o9g
rs4ioN67qeEKXoC4af0aSA+mD1zDetp/Gh4EtTqq+3UNKmuv29rr0PHroyGm3mDKwCNVc3uMW63c
S2F/eFpprfp6HDdFxUeVVeWBYB+dslaSXZEYTTc6qDvKNNkFeXTe7WRmAkcfWmuHb+0jJ5u4w/5D
SrHRoAMuZXjGT47XRzAWL24JyMKYY7EPBNRUgiDqxoomYupd2vg0HrMRARf0Ws0EOEvqpFet1Ua8
krXmOJLrO4Zj3xDmgyyt8qu7CufWhl8eNUqt9YkBRq7kHH1iDjF3ygkXrcSSm0BRUB4bCiNfRc7K
kdGb1LRqLmQTZhM0lMOGYUnX+FMWNqZrnFY8c+FZkxh00JLq7DYR9H6xmUx32uKUa5LPDEvZ3oWg
dF0y8Pm4WtpjFyzEOk0mioauvUzTIXCo+r1CFfGVNPLNmheuxQIepsTtu2lRHC36+7SwfsxUoV+g
qv2inEXSoOr+ElX859AACHPmKlGVgAAhHCZGagLn3sWlVHWraumvY9UjaNngksj21gevtwmgDN8R
g0Ag0j44UUM4qj5Ci2JCU0vOMpk9kR5ydvhD7HWWN+oQ8U78KA499YYlz6mmVIUud+/YIFzVFCFW
GPhXBdWISPVvBlWJJA8nX2+mq25p3INLnWJJrWJL4Vb91bPYMc+AoKH+bY5XMQv8HbHLhNJDhh0X
5vyIVtG40U0ocN05qs2xz+h1tMTywtIU2g2VjzHVjykVkK45nrTJrP2ZWylPCh6bgg8by326I2Xh
xa+JyyrXTrtkH5pDvHIkMYuJgezMhlG9khReYurKX73W4swSfbEBxnZVjtotC2hl0Unjs7DoeZTL
kMDuPLr8kZj4Zo0uCoZLkh3lGF7nuscswONy3auHZxEB1y71TbvKijYJZe87gb3xJgubyncNYqGc
MNQCJjYXImvydpXU582ScHHDjplxwjjzburnZBO0senHFG5vvAUspd1YnwhrGMzlcsCLdMmK9Zib
yTmo3nxjjsLYmSPGKxMr+Dal5GcL50XssgAkkBRluTfsiQABe+s4ypZ1EMfGzjAnjvqEP22U89Qa
I47zrCAGjuSYURHBKSVqfAljwd/UagZrT9glpK1Xt3caBWqrJOdSW4dkPooc2xXHVP+f+PN/sUjG
j38edW7i4aNp4/e/0b/V3PJz2tHlN2kqij8o1h94j5/Dju58s3HiMNEgPv9Qhn76mWn3YtJG49YV
FRZ5+nf5xwS4RZYL4hXKOeu2f5WH/KKh/zrrsLCzGXXYGdqkBTAS/VH9iYxisIbexAdc1nXlnGsZ
nSSk06VoyQd6Mkkvvd4wU5/TAcklVtdrHU+pw8Ukti5dzsrLvqw1zuZJO1hWYZ56XjT+aLTFke10
fovGMF728BvOi7gr39gHjmdGPqa3Uh+bo4Q+VKy7yfkIjFjuSwm/Sk8amnwcer++I9RgJtAGbgrN
CF7By3apoY/+Qqvq64Dg+qmZ8XJjtHYMsSoqaAGcSQSSTEVntWt/MhID6SLJ19gu0qs874M7g1nj
hgBZFt0KKA9hi6lRrxf2XxEmFEpsXeq4dTKSBt+wFwMVOQNrjCbyOWDK+cVyxHDdNLqLd6FsDEwu
hJbEhW1XpNetuE7utWSxlO0ldZz1ZNh1swIggPnPGmCPYw40D3LIu83CFOo7rNoaWk/crqp9XS0B
xNB41hGiaPMSfK0KcrU1IFPLAkGr1TJhjgvT3IEVSg4zOSXPLxd5s+jt4OwNtZMoWU50Scbxb9Py
crKoUDu4X7vMRa01Z6Bci7mO+GCOp5xYZ6H9kJ7/u/woevw/nwi3L28UVIGO/rstPl/580hA9yW5
6ZI0MbjM/FkShgQkgUn++F/4qp9nArqvaTOnq8eUI0CpxT8vQLCluRjpDgkqXqX/8kwgM/HnC5DD
FUz96chasF/7M2fcTIYCRWIaL6fMFWuJl29LqD/ZVInyZk0dnqW05U1tyeF5TPJjRfhqZwvXQbdg
/xzMYesHhatT8GdTfcyzkM9Q8mwRa0fRLS9WYCwXXt99wI1paR3DSl9lwS0hR/sEOYvivMGseYEP
9YWtm5skjB4gLm9GUVD15LlneWecEYD4JMH6MEZopzK9rLOGK5Oxh5CqDNxMi3FuVoQdydQtJCd9
fGYtWynUVLT6j8SR96OtfU8H7QP2DWVNqsN2GrF1QXt6p8QVfIgg3srzz7wEvGJMR+zBnv06R9QL
YfjW6eYkVzFQfuj3c/kQ5eW1YYe0pzUYA2bJ+N4TnCRh3YenMD7QlnZTt/bJzIKPBdluLq5svRp9
s0kvCuTPZUoe89pcBUbwFhXW3WCBoRPJ5xwqb1JmXLuUClLczUw7hO19qYHxmntqf/osyrZTR16k
9pi2Gpt0JdZhv3NGyMquoME5ixq0ediEC2nZdU6f6LoNSJswKLU+uWLy43i/cs3c9SiwN5aeGZyd
eOuSGblTj63Bt0rNPDU1EiRD/bBOXb06W7Tmpmwn1v1aKXbg8Q7IxLHfmF28hZti7fvAm9OHItSc
8GS0S/6IV5/tZcbyjh/fsKwnkwvuMMXcXSz3s/Wi/RQNl1HXpGskWlSZ7kuhaWhqescK70Dp1iEl
xVIPtiQh9UuH0Pea+bVHK4KHWCkyYq4YiS6wxIZ2yD1om++p4ihaiqg4SvLIWgVl0QC36BXjwczp
o2qCfpcpImMDmlHrGch6PFCbKQAENYwQHHMJvNlpjeKyBe9YC36WJsDHiS7bOz4BzhoBlJii4kIW
ihDp9mMFzXF4bRU90kkNSruT6KPSuT8schab2NMvNFdhJwUAylyzdMS3rt83ik5pNHZ2W9t1Rkmg
U9ylimIJBY9uXQmBEsBl19kozz0vjzC29pONdE0Yj0Ed/Dj4xvkS1TdYaya05py8yMaKjfHY2bq7
nePAPutm8TIF1bqOxgfstxX1jWJeMUUnfig97sGT1Cjf9sbvaTKOq2KpAz92u2JHhiZ9S1mI7rN+
5Dpfu2fpGE17HCPupulUPW2zkCSwLShHo6nTdB+a7skd5ouWNxVmPw1LfYkjJckHSJfCnfzOKNqT
5oL4akHkUB86LZv/xDhGRnU8/8/3UfxBY+JfxTj1Vb+9i5SPXKcUjhkQFo/H5PpzPlWvKXAwjmmy
bjTUovG3d5H3zXF4gblQLhDyrF8dZWwuPd1Qm2cAdVKh7v4N2/Wv7yLEOIf3ISM0G09gyX8cUBea
kiOjjMWl6aISB/kCNEP/XobvzIULDvNVg780VkbTGAvu+Vjxzxt2YDZu1B6LAIn1mwyXKo7lNerC
tGvT6Kmggo5p98YsXGhOmAFa51lX3ukM5+uCA7azCM+HLaZYI+zZXhV3ibLLApLPaPjWO58K02em
Mx8a9NHiJsgG6WWJFnAMy5MhNZAduHEjEFAEvB2IYPG+7XFDJTh3gT3tR2XllbSpTHh7E1TvBa+v
h+eXaZ2MHy5gbSwea1zBqU4TrcQn3HjadsE3HHupg9pT7SoPvznF9D4QfICqgaqUxHfc4T9mAmfJ
iNLj4ExuWlzJM17lejQmHKCzc6BNEqN9AKZUZBxao7ZnowFolKXtvtfAQsjpYHz5oe2bsepvAM81
9xmO6UxZp20eejiVjwJaHlRmXGpiOoXKbj2GjraxcGB3A2fRhCdb4s3GvAZEALf2rL9DpPge4uGe
XQsmprJ1Ly6HjDJ6Z7V5ou36w1QWcBLB91/M01FgD9dksO2UYZxltb0R00w5+rxz3XFT4S3vW35m
obKbjz+s5+mXDx2wNYaewEnKXWfF1gSZIZ6hR1SiO5SuG9IXAN1KNzqcKXUpGmfDDQR5sf2SGrOh
pvOgs4zOt7/EyOlLmIQT3xBnA2wXRnXNoc8msq9ZfKNrFkrghORq+CbrzRURcv7bCGEBPdRWwqiX
1p+ukkpnNNNZiaeOklEBrd44S8WO1nQutMiAJGVU/DsE2zEtespQYwslyw7TcFspoRYLeuzL2npP
0HCNefpYugbkPOpuSPfWCr8TlFiE3xTCTaOkYHaA5gZrH7tuJRN76V5GzbObWt3W1GS2sdCU5w6j
XiUhnyARvMMu5Nin+YJPTucRb0KWFkqgzkJibM8ZBeso18WUvEvEbAtR2wCZYaXLkcTXLimr68Gk
mz5CBq9kTFcHwjiIECQer2H9bT8Gyntp8U9cfXwMl/o6RlyfJWW2Y/tcWBZU2ZnmC81xltjnXwWB
0kkJPEYagcVspWlRiylqYks+EjYAgnLDDBYe0ihSnMCLpaloX6w+uV43uOOHhhTnnDZv/71Xvt4r
Jn6T/3XPKf7fFuvfW9y+/d1Vhy/+7fVikEUCgySFBcOLWqT/z955LMeRbd35VRSaZ0d6EyFpkJVZ
DoUqWALgJAM0SO99Pr2+A3ZfFtFsQFf6BxrcWbNJIP0xe6+1vrPpRftDQfOCgoU6B42dM/WL9Qfh
DgRtOz9/6q+tDjUTJgEQN8r/hZ377xsdBOo6MB4xjUHK4cTPXUoky8h2EjQLyQIPtR24Yj11dmN+
I8ISv+FnfeU1WJXfAaiLCVTlEOIMztSFLIXMaqo05dROEq3ptUGES2t8G4bt+8f59Ur+fhwhBjs7
DgDYimRjg56VCONvDqP17f0DYAB7/0reOLpCeg5qH3El6mSBt7i3KDmzlnMkCkSDTzNv1Q5PFamI
8VWHTVyJvyfROgQ9XF53xW1I9aarL0wj9G0cuqGObf2W+Dxwp/kHt0KI4N+957xY5/dCI/sRTYK4
F0Qx0Xypq4d+oMyu6KeRBUMADiSeXyycjzX/aZvx6v1bJXbifzsBJFWGSXWKsAL1zZqlQCHakb44
nxAaxwTMO012SEmfoDJd6TXB1Swm+l1iY3+fWtfoxxuFlju18xJcgiwtqwZPFTIoik/rLpT3I/uC
ZpPlj2qu7cdAZu8NL0m5n7ScWK/Uwfsc2B1YksRvzGZX0eFTh3qtdLOHD2gTLafBjP08RK9ApQ6/
86bB352rV2R7EQTw2KIzCtu7NrQvNci3Ddz1AYmgOpY7YokxZ1FoTiovBTVb0TcxqT4vFLXiWVn1
So93NPfHajvXj23CthZiZT0WF0qnXyfJZTLlm6FQy/vcwGCuLVCQnLtONz0CaRD1U6o24lD39Li2
Pdmmkl6m2RMCUDfPEUs6RtAKqvPh/Sf0umr8+VnihmDcOfvw9Tefyxiji+ymdjnJG20b7JZD96Bt
7F1zal3l0G2R7/vYq1fzWlvtkY+vS296knbputvIG/MyXic/1AL/mKYiPp6f5/P3z/dNGVbPIDzl
4pUlPIqwnWL0CIHHASh/MBz97s08H47eDHh2nC9ZFHEcqXCzu+lbLXjuK1YsZvDBR6D82kX/cUnn
HwEbi/Ov0OH6G82J1VOkrZIrorJ6tB+hO7bwolbhieLp+8/0dyMgOnPMoDYJfIgBfj1eTmPdsjJN
PY0kPRfLl0G6ev8AvxsAzw/w5t5RfLKgCKrqiQhU0YgfpVU7fcQz/uggb0ZZZ3LMBUilCgfsYqn3
nXlHxvT71/G7Ken8Ot4MjzNzNbJnQz2RwYI6k2a5eeMkpDVPP57If3UV+DL+2pRt+dL9D/Gbv5bV
3MRh1P2vX//Y/vhz+L30nrvnX/4AZh5W33X/vZlvvrd9xo/++PDEv/w//cs/iX93oOP/539//gbs
1ovbrom/dkwvb2mAGo/l/eXRvnyugVv//kf/tTiS/8Akpci0XkT19twawd7bsE1aCZbGQsiUz/be
9h8kaOJp0mRF/nPH/nNxRLT7n7/stdf01524+jHYcBP/cUjSLDHo/ByUGCRZZDm6kC3rwFpYjv36
RQFdyadJn5vTLNFpQb5GtgrK2sJOdmYfFadYZyiMoLmZRrOhCWIAVkPeuYTyjRboN2nTfy9xQxBC
F+2SgUxjWGgDes9UVVcSjLQMVpoNM21RUXoN+oQJXDvIGUEkGnw1GmrrILQOLdw1gtiuqZ7dWzOx
afh+bPhsNjoMmjAu7YtdSqxIBJOIpqi2M+zoUwPhTdLl6znNjv0cewMEuElUax1zOpj2sjEa2BZx
eG8QiCZxRX7WjF8caHIBbf+u0T5rIdawrtsXgUm6tnMx6DVhd9HRIeiaKteKeMdjD61OK+vLZlIf
qGFsI0U5OtRopbQ8JUpyZFXmDz3VQuh3kTyQTd9eRVF/GY7zakDjoUPLI+Hu2Kh0r52XtnFUPxdY
vajv9wucvWC0iNfRH5Jk2Emt4w1GS4jDQmM38XI4fWbV3M7tzF5pik+hYaGYHj0Fsp/R5tsF0l9u
d18KdaLQWBzpbh0GiIDG0u/zZt72dUu7vHqxkopQF9JuAhG8rN9YEUHmqIK2nYAN6tl4mQr8oDLX
JMGlz1qp3zjwCSO8MC7T1qmHXBiqubeEA9GWxaqFbJg4006BdKjn830I+dAsiBGuYSEGaIsQc8j1
ysrrSxKiR8SUoBOzuQ+8Epqi9YpVrKeNDRIHkEX1oKooQXIYjAWr+BCrNNZAv52dET3iK7GRDmK0
68qmSU76skwEZ+tmoW2gdMdrRxl5+qIwLSrUZd2zdbSrm7Tsqn1hNuTdi4q2kgnYm7EM3jArsFQm
aij4BFWc0ktyoyoqXUdIMAaF8qTAQG9TTvO5pGVVqAukQ1FZTyoCfzpRbe9F3T0YCoOo6vk21ufa
w3aLtUQjpmURFXuWUciJKOJDN5F9+AWzm1Dgj+2ZnKfkZRSVf0dS7yRaAaWteZRoT4tqrHVaBYTO
j5jihhXmoe+QCS4RBzxItESTy0b0G/i3dB6oE7gazYhYNCVKUnhEl6ISMMRAdC4wchMEWelfQvKm
XFn0N6q27r1Wd46opELXYmfvkOrHSh/R5SA6JKlqfw8r53Mxq/cGLRTOH5lPKZNVKvorZKWHLhqF
yoNLE0GHYak9oJqvaMxodnwaaNTY+fhJn+aX3pL3CY0csmLIwZF6nwnhU7yovpNn9REnYL3ORR9I
FR2hktZQAUIISFMKjzAaNK/XiegbleJxpNPqtXX+TSqFynsaaQIh31sn6bQLJDJXZYeohWVAI0dM
atZNp1i2vog40ImagNtMOe+tZdIjGAx+MtuGNiZStVbXdoUCo9bUTVCqj12N8IhhCuW8sYvDvmUR
HT/OIZELjqR/jYMa1AACPXpaX6S+8UjHnFdTIHt1ETxodAFWM9koi9rTTSMgnEaXitOiIX2+qe6i
EZm5nMwzQTk89ykIHjURzB5UgcX7pa3rlORcxxn5RON0XpUln2UDpY3T015ymbyCIQhFNgNL8pTc
oTGvd0Q1mpzbsMdTfppypDfzQsBoru3GSMYtPnwqZHnfjTawGslxkIqTe9TL0yGN5FvoORdGEd0p
s0W8TWJ6RZMMrq2PmmdO0gEokUKfPb0nWxipSl5ZXmZVZAJFUVqsm7ENo5VUBrpLWpdMMtMQ7XQa
QqibdLeQbWkjk31M+4tEsaLNy/XUq+R8zLhxIb9ZypRdxyX7tdcp+L96MbL5Xh5p4ba/Lj7+f16L
GCyE/3kt8omlS/+7HoD4sb/WIYr9BwkyFNctQrF/VGL+6gGQuWeIaG7K744QsJytQ/Q/HFnBNoQs
l6o0wdo/+9HaHyhxVdNijULPVfzVm4XHewuRX5fELEOEthfHE50IBWqFzimcbyQmWQqHpin64zKn
K0rioi5Pylz+wf6B2tPb9Q6URhZi2EpNWg3s3H89kJJ1Q20menWUe8O5TyOiZWh3Z/OyRY5jAMTp
il7fkV663Cbk/LvEazM121b4VJUJe/lwdi4UlOhISRtjuopm7Uaby6H0zDlEaTikSat9HqbatK/G
oB6GdaJAExl0lG9mKmVsXDLSX+KqKlW/HLN+WJGhGwihZ1A88uXTxYPLI3tt8dXI9BGLT5WdUKhU
GTEwUBLWZTBpdFV7V8raEhBXPJbaSR4UIz0MWXJquhR7U4WtO3KuNEX+brTVt6IO10Er31nEoeJf
2BiSWW5Q3WOXqJCLUnh3ct+Y8l1AWpanpbCgoRF42Vy/ENl2s1T6UVGrl14bbmm1UwjQm+TJSjHg
OGHaX0pW1TBlGeY+ix16LXmGL0RlgyZJ2ouetMVWDxiQig7TLPaR2iU61UDlJioRzrEtwLouqj14
WJvUDWGG97MiPWYq01GZRAx4XReqtEM0FewO/k+fYCSUz7r4FZ0KccNs7hu9Q9Bj2kV0g/dBIhJD
aWjLyPjLoQBxF4l6dduUYVuXGhIEjeWmxuS+jySWc2ff3p9r7PNAUxFs+euSmsU8qgpqQzofB6/1
r69YPTd1GMI0O7Z+/jyStXi73Fqu5NbgCwo4zC59BT/fWH7jF66x19eaD3h29eEu800dQOdTR+NB
GAS2Q1knjOHX88AsPPZM3+UxUMM90t9plYY12Y6jrrq2lTp+TbjQulFNsgUDW74MrQb4J8/ITOsc
MuJ8dEhBcG11+dxNpbNuVaxxXVetA3v5TLAJpZ2AFgjU3QeY0shfm5q2b5to3jQGOEIiCkUYaHyU
oRvmcUKamWzRftHSc7aLhkZUVTc6tTXMMzRVYgdVeV5sk0n3Sk3HbSdX/jiGBzWggwSHVPHo7VMy
SlqPj/g4TiAV61AQX7TwPhzLraLll/1ky2L1t5FTXjTLqfV1Lye37z/iXwcRESZLQZt6L+OliZzu
bRnCWdQRT1fQHGUi9DYMBHiHGuIasAj4WK4QO9fh8/uHfKVz/dyo/f2Yb56mNA1EaiBkO9ahhrWY
FHD4Qd7SWls97y8J/JPd0AQCa9GxMjLWgIZezIelQQtjS8ahjO1HOW5rd2ilF5Tqa4p8l2ppXsvB
8tUI68/5GNcsZerqP6kJfwpHmaP+eU4WWS+XzwTw/KY6wA/+NSurqsh6Yf/N1vvPqfevWZm/wuui
IAJzSFQiyO1nZ976g0RJ1aJ2QPVZMId/zsqW6LdQjWY2//eTcP82kjF80OUnu8EiWUaV34xkbT/S
zzYBw8jlVRPq/owX8+ym/GawFPP62VvNwASJg+KDwRUKF/SbOhVK91Trrb4/tXpCuvknST45xjWw
eCUgl/nIVPn+8RDPfnBEcUZnTRSVgTlGA9SfEryqwAxCEs/mtqS7XIZlez02pb0fOqM6mimmw9aE
Rob1pA6mwMBV2REEHxbm54lO0M7UiNyE+ah7Slti5bOjg1HivrHVdFU1MjbS9MWZpMdiya9KwoYR
VSG0SsJGuFKxHzChoachRhxbahxu9dQEWJnFa3B7GrEHcbkJwPysYgyGrtUgmycJpkE6FhN9QlRn
H9/YVFyAWMPNi4eDVAc8pYQhMsCPWpMBps+k7JnjdRBQAQwkbVuWytWA61C1zV0h96TtJ+FFifMX
/Np9gy+CoMvPwyISLqPtYC2tr5A4GXfYSSomSxrsbmSW4xqiSbsB435Zgnq+tTqZhm9jzG1xW2Ix
2Jr0PxKlqLc1rdzumvUD/6PPm6k8ZdT5O9yIRzrjoLBaktrzXqu/pLJ9ME28BHp+qKx4N6Xk9zjB
UZLT47yYDwjCcISgVnLRqjBpxV8BeH/LcMX4o6FfTpW+xxrsDWl16ILRxw29Izz3SsbgXQSEzU/z
Ad3fobeb0uuWXIZ8Ol60g/xQ96qv66XwAS335DGH6E/m9Bj3xVWRdhtYY8d0SfdyiSJjqkykSx3e
o3qyiaAdUDLpc+aDjbsnpYgWNdDOtZpX5AH2Y4foX8VIRpbfISM1dU2/HdQ9W+7xpEf2TduTJ6aQ
pORGUbNWqnwfZPFVX0i344DnVeKxEKLq27HjWnn3zYpI6FHM5FoNR9/p8x63reIRiU2XZb7u+pJM
c/qCJnyzsRnWwOa8zsSor8heWZYgnfSrPGByGCfMD12WDjfTHN2g+N6xTvDsyn6EIbWaiJe+q2SJ
ej64rAL7PAJvHA0FXnk6SDrQQCzQ32XQV0VverWuABC2nJ2aJyY0ydgnk5ZctfAqiodL3Ui2tZET
/2f4mVWQWh1ctG1JwP9AAm1HFIp0JIPeU0dpx0BxPdshtYuYKozGmhSh4ye9ackLkHJcUvCtCiOb
tymp2bsmQwbIJp3UIWmftstdW41ISrOOykZ5mwx4sxJi3QFLQpe01WenT54Ty2aezBJ3SsZ0NbbI
KYJ2RDIYDPb2dZj5z0ZU1IffnfS65//mPjdfnn+3HRU//NfEx56TKUXHmoDhU8SUnmkGZCwTquyQ
6I5sGdX9z4nP+ANQA3tF23TeRsBjmcDkgLlMwLsZ9vV/Zzv66yQhtqOEr6nsEy2CzljjcXbnk4QW
KdLYQYU5RvnnpT1O09PZbfnNtEe6xy/T0I8Nr87mgDAi5j3DejO19kGrd4Ex9cd+YR/D5oqu8TEL
kOU23QtBg16TNLGX62h9Qcjt2KJvmzphX1OhsxHbN4JPN4WFaZp9XdJHa519npQRTqM6B6pE6GXF
TnCJspPyujnUhq7WTmEuNo1TjCCJmwj6GxE0Eanz0rqjbOyAxwVUJuVL7ZVcgf3D8nSBs6jVLCBh
FcSFjuMSkUMoPSZ8l2SO6V97gcToBBwDrVd9oQhgRqjYJ6tCKZbB0nAEVENRieyoBGgjmfC8awK+
oQgMx9wUFwNcDloGBwO3hOMA7BhD9qoZDA8o0ovXQPUIoHtAj720EZsyGBWfJRnLtwIJJE8lgk0c
pKU5vn2y3WABdrcW2w9JrnZajTRYlrZF1e87gRkx4I1Mqb1PBIAkXPA3QiSpLes5UAYM96DuQkci
miB+7gTEpBXmRagmWZicJDz8Bo3bKFCfWugnDhSUvDYOusCiNOpwmWmkb8BLaap6awqASqnDXxVI
lSXNrhoBWWmhrXRQVygPCxdbstcl/a4TYBZVIFq0Rb+NBbQlEviWHo7LLIAuhkC7BDBeZAF7KaG+
9NBfRigwPAt08AUgL4qi+wlSjKMPD3qprUYIMmZrPjHJniBs3UQCMdPDmrH04TKCPVNiug1RpEcD
Zd0cOk02jIdIzW5Nga3BXfKAaveTAs8Gadu6hG9jL8ZamprPpt5VLlJggtDbp5KLV+d8ItJy+Ua6
rk+Y6YrkVioJ06EaUS70dYjPBjUcltEWqaMFGwv2Dl/BmhCtpzCgAjK1XbKWWApaVf0yw+2xCRDV
4fj0jfwkwfVpLaK8U1R1A8Qf2ci+LIIAJFBAEUygNGlSsrHBBOmSdRfBDaI+DkAoJjNTzvEXKjld
IIEZshfLuATwVOxjwvzRiSsI38ESOfpjX4EpklS2UaCS+XqS8VaGZST1QI1UgTcyaiK4wJ7dTAJ9
1AsI0hDKIi1Xa4GnVWhJ9TjwR6hJYaeafkx2viyASo5AKxEbM/gRds2SqrlgL+WvHKZ8lmizJPEQ
H6cGUFPNMgNmas/sBi5z1fwAOpWRp0fE7GQwl/1uQcpfCARUidWEIL9eviBH0LWjGTBn3Vx0lMEr
vYIw19OMUTSRRKXW7RbXWeKHcX8wlZBJOK2KjbIYm2BaHII4VKZMPav8sqtLTNFxdrIwf6WrTGqv
l4ErDoLqq7HMn5pAe7bSesv4RmKgAqVRAdkyZ9IhoIsiei0GJCeDHL+sBH1m9JLI6Q2yhz4tbsah
GYljNk96bLuMLKsm0T0NPKVXVsWFVSPSpPTIvx+vi14LVxW9KsaoPdWLLUZUUvsh0cGJwQ++iYzo
Us7kh5Q2j9YLGU2QbYopJcmNAkUbd4AioEErnUxvRo+tL9VIXZ7cnxagQj3md2hvx/UQaxsNxTp4
agLTI3uBHBXHzeVip0dNhbzntNcKSNdV1sLbyskEW0a8F4qFgjboSWFHkZPNw72Inc/VnLUulllq
aH3kz2OXO4w5/X6UzfJzoXcS46/0UreR7M09eWscDkF9ZeqnUsvYG5AGPwCtioZNQWttw9AfPQQ1
R1D77K7IQUKw/3P2PWli+ywJ8ZUYWIUxGmIRpkSml9adUVM5c/VEB6BJqo436wFWirS+M4P5zi6M
5XEJiniV9WCnjT5UXGuc1h04r00lD8WGJJpyRRgmTrnB6B+bmICzyZ7jRRC4I2alqNvq9L7cdMQ1
ZOeoZfPyyRyqXTHS67FgrLblSZ6tfVrP9zKuoiGmllpW0X2fqXd2XzsX0zwNu1JKGq8MspndTDK6
lSw/4eTQPMB29WNvVooHnwSacsSLDsaCemWgPaqT090GqjGt7V6C/UUA5we7xF+r0dRaSFUzFZYa
FIsdMrre7hHzHDljmBTHLk08nAo7g03U2LTr91cBb+V2fx6HrS8bOvT3f1sEdNaSp8SiHvMsuyTV
/J5R6crO888Ml/gJZ4cHMGfbYarWmZ1uWzUito/inVpcMFId0E25iZNek5d9Y9ayr0X9CvqvC1Ty
e9mb7E35BMC5Hk35o3LUb+8Q1lSg9bohSum/LpCMvC/jzkmL40g+VTjfCfdlVH6g4HoTW/aj5qUL
xpUwGlCEePMcgLRUc572w7EKyd4g+HwHOQ9Me1AzbwwDaVDS8ChVWXldOLyDjrwbbSJhyrlioNLk
6yXJ2Uct/TWaRue2YFbqy4EtJe5RvYRxYZCiLeI8jrEU79ngc89VvhszB0U1E4t0g0fqOe0ovZPu
t1nwwgStYvpRFqd+2mlfpUZdU2btV4xKCL5Jy12VNbEGEeYwpiKWNpG5I4LwOwkIz+ysaN/hb5is
7HJeLAJPrVnaysqYXBLel7vLRK0OVWHsRQ6FFiUOPwW9kt/VI8RERwkPRl6xiTSrbmsqoz+UTHEK
rHeqMqlfyerJkK3Cmxa2sDC9D4H83FP8NKwd4+KTLeFGs0ZlOyc6WOkmIkeCYIMKXbUGIHDRWXpM
fGaE9aCzgDi4bbrcYPc47VEoPqexGn2lZrGRTdqgVhZRO0QxqLX1OtbQ9ROofpOj2cbxx57WXKaL
2mo/0M/RX/9l0fzjfeCDFL4TIVsRuaXny3LiKsuCv+uOVMCeNaelr1sN2dGUUDkwnn6maYSuro1W
ijnhmHhNbMsuuSskOEQpxtmwvexIsSMS5dIo7UdSoKJ1mxv1uu9lfYdeisZTTHj5YA+gzUs935Jz
C8RIoTZK05j1CAORnJcUZYz6NsyxpSlRC/ZxpF2Mudctqnpt5gtiKPPZEdqrQSmtVZOr96Y6s3aG
6qp1ikfoAfJDcB30eM1Hkld2VMy/wdhAnT8yDDjZ1iymu8BJDtbQrGoYRaaBr2EiimFWb41huEyT
6LaOjRvgSxtz7h7tNNVd1o2yb9Y9a8Eak0OPgsAWQR1aInkyhSOPnJFniXdiVTnak6JJj0o0UPbt
kGxGlrweFmmC6Fr6it5sZIJOnWIgWxPhA2wjrCzyCj/GhUUc26gMyCgzYUzs7rSxOjrQRFqc05gh
vtbYmgvL9Il3Q1dSeOmQnspoOliFuR5ph0VWnKxi3KKqE1+nFbjU2V78sp19MwsQvbCgKc2QfQkf
4yA512PdvcSWhLNgFlZVUqm6HotKSzJgCBNJMQ9mq21iDd2qLfpTerhAjWSFmvbRQSJdLMV/UNIB
CqX4yoh0uK3lWk2li5xZPBpD8kKyp6Fq13XoFs5Op6CnMGtmwbjumN6LBiJ5L9WJl6XSJhnti4Wu
g+VgeRgVCK6tzKC7AOtOkCoZo31FGOs2LDpSUepDIayxXZdJp6wSAtrM2uvheFGpCXV6kbtCLAky
JZnsh4ryV8suITOx+OU+tTX4FOOVafgWkJzRPuYQ3+kAIjyxhgeKNPT65UuEWQ0eRv2QRGPrDkEQ
XPTqYK1a+q0ri+QUohiJy2LdsC3nrvVmE3LjwCrEKoljszDDDEGjfDC1ffClvmpzz6uskTMT7pL2
VFGpKbaXOQ3JaRB8zVPaXJI3+0Fj93cdmbORQWQznI8MakTKeJEzMpTld8X6Nkw3g3MowkdEOu/P
2aK2fl6x/tH70Q2dRrVtIfgSM+PZlY0tvacE581xUebQr+KpXcWBKpICy11UomlOpwGyFZmvJZGf
l1jyDddMSoycCaZeem88GUV6wQN+PRUaTGOt/yTF5amUrVt6nlAGklXXqrcT+E6v6MI10YCfi0R/
kKKsugl7oLQGEf6b3OgFNRYjkOLPRBOCOA42RadZD9gubqsl86ik7HuNwDxNJRZ93hmVcxrT8KJh
2rYkCBBqwcckCRDVaqqUh7xq/DgLdsRgolSabLcz8udFno1VNoZP9eQ0D2oYELdOv+2Du/prveXH
wE486r9u6pvmVmpCOW7gER3t6XO0fJntHyTGf9Q5fvT730wcspSxRg7TGbzLbZVArtDuP3gt3n8r
zDfvH8LkVE7VcD4a6hW+ZZfbJEfz6v2DiLtw1iz589WzbZMlqSKUo7++epPVghHVuQoHIFn3tRtz
1iT38WR98DRE/u3ZgV7LX/SODYWp1mFpqrw50JzEBM0slXpkGfOVSc27y9aBR/yfG68e3MJ92Jmr
4fDlJl5Fnyb/Ge7pF77odqvt3r/g3zY9zz7r1xM9+9icIXYqITE4duvBk1cEPd32m/wa1I4v4rLX
yob7vFZWUNrcyHcQv/n6sfj6/lkYotr39/v+8+0Ug8/ZWWRBm9lqw31/xAHnW263dq4sl5YVnfzN
g7E6mF6+cY7RetoWt8b2DtTBZtoy7rnLpiQK1aN05jmedOi3xaY9RRTu3dD7VLr9UV7NG2Pn7MqL
cdvc5+vb90/9bbfrb6PVmxW0pLZxVkkoIAwX8va6/V6tqzvFI+fSC7zIA1O2zvfl5urrwe93xooN
e7JH4rZPjkQJrQKkAO63YPXp/bN69ca8c0PfplbHSL8ay+Ssop3jRqtlm2+Cu4LWCro3l0Ant1kh
O93Yx3qrfqaQ5r9/fPH6/v3wP7+jN6MNQ40E6nKejvJS+tY4XixSehx6ufxgUhKjynvHeTPq2CSV
DsOSIT+hUTGMX+VpOxItQXSfDAWhWr9/Vb8f4/51VW83kxLUY82ok/5ICA47v5sqvP5/O8CbPZ82
2Zlp5mygIE6qCXVA56Nu8AcP5lWsfvahSXllF9bMh1ZWRyAR60qFDmR/8FQ+uk9vBrdWyQBQWkl3
nMRTWTICBpMPBuqPruPNC9YTt9ajepyP4zCtYvMIS2xFD/j9x/HB22W9GZXMIJRminPMBpO50p3C
T7PupGn9yoK5mIzqcSCR/v1D/va6jFc7A8GSzlvgm429IKjirj/q+UuTrFMNXY65ef8Yv308Z8d4
89FkMAWkOtKnI7gm6vfXef5BVeGjA7wZEpc0n7SkrIejzKBNMTrVsg9u0+v8+N6HLyaUs/c4imn6
BBnvMXsDZF/hftiml2wR8JmtIh8GtZv/UNn84wKHRLD3xxpx1WeHVKj/KZ0aMUc9UhguGFUvQ47t
js/KYdkN7hU4C/7CNfx8pbj2teTedL6Y1a+e6ittz66dFDl/7txtsYo2H53ebydyclb/tXR587La
cTPKSsBHp5zERC65BHLpu0JZuelG9x4Kdw8i4uJF/sLmrLmfLxA4fzB6qWJ4eu+hvHnug9SaUe3M
rCU8+LMe6FzVdJ2LzLtxjuaBUBzvCbaqW1CxXTebamOvpA9G6I9OwRJNwbOHJE29pBdj1R0BbrmT
R2Uz+WaswUhc9N+nLeLIg7WRNtJL+KStpk16AsD1/f2v63Xj9c5dsN68J+mg5Xpb8GqSy7IGYOzG
YlW3S1d3w27a7ZDzu8uxy90HGT9kvq421hUh/F7vRzvAfJ+zD0bK143Z387n5+duvLkltuTQG0Le
fKx9fWNuAD5P62W9HOILxf0a7ohQXNm7aktR7zCtrHsfFyyPqNuk69vYE4uEPxcH/2nd63wQH7Xu
V1Ce/i5YEz/5V9/+1bOGUBs7Pw36V0H4mWBNU0iMIbMGrTQt/J99e4uAAACh6CYNIVcTo9dfdjbz
D2ykSLItxUKkKv976HYqaL985fwmMhOho8EOQn0rTuXXT8wJJCpHtl2dCvw9pBiaDX1Zgq4ygOkx
uX++mjSK27KcX2UpKeOL0e1qQ3kZShkFWJ6P+xG0GTnPVP47ud+GZegL4ToJXki8yoLik4gHTazk
yxg0YDuBiiGaIjcKZXnhW7lhs7SbnSs66/dGAz+6HrUZWM9yYGFzjxWHFPj4IUi0uxx/4slSAmlV
Tsro9rAZfHlS4n2e0fDRifRNHefahqbs4p74rkhNvw4B7dwVtbNFUHiRVNO8lqfCl9rpplaIciur
bJdJ9XEoCODQ640ht6A8jOmQW80tSAJUWnN52RoWJI9O26SyE8HBaL/O2JzQv4WDb4FBXGlxAPag
viUlak0CPjwc5Lht08S7IbM+K0pkrcZpZIEh8nUXvtKJrhnxp9uoRKU7UXXzskbkpy03QajMW0NS
uDV9PFxkMXju3AiPThXvHZvs+iRDLd5J35Ikw6FS0zIPy3gzLmO8qgPandJAXVOJIEL04Hf6zL7S
woLKcyei2Qje7zrtBlsWEWXfVLt8sfh1/cwti2tSbCKlfY76QicIzaLfZ3VeUmoqJbcEAYKpumVG
TYqkl3hlzu3WLp0b3PzlVZ0rl/WUTL5MgZ0eriBN8A5vCHO806ncr9LB8VDV3lfF7OzrIcGTR9ne
rIMjIbPUXIN0HcTZRVt2uAAQnGUEwI7FupxAFClG/ODorU6XEuZT0JKP4GT1eonhq9XzI0autV4M
n/Vxrna5Ntwg2EX3tYzfOfJE0nH2fbBq5USCnebWyoyawiZPLo0unV4KDoPWfFGagE1qo6jYmNAq
RlJu+eDtHcOfi5YYm4VWINpG/D7VEbG8ta+E8nF6FUFar4JIrSJDAOrQN2Rh434wNGin1rqppm2n
kcpvaCTaBc2To4/RirY+0sWKQ1BoxpK2bUYWoL3BLbbDYCPl0XKvVaXi6iqGTa2ybu3avOiU+XsW
1amnpMZNFkThhbkM/pLDEI2wNzoJ61mT9iXV/G/JUjl4/6xvmL8BP9kLYTRwqL1Saa9pVHOLm8sA
AaFnNWO1L62G8DvMjHWq+yGpmbzhdu8CKOAnpoH00DGcKdUGL1kVXNFw7eEedDLetb5cmT0++WDJ
Lmq1kP2Fbsc27NEIIBEAOr8fE7X1KPc9JaQ7k1HTdYdIl5DLEEXxXZaD9K6U9QoZhT1jpswihDCv
g/J/Zieh8vpwdsp+LyvjR8+mJxVBNVn0Yk3xGmd2Nj2h6SI3k5lBd0Rm2b+SziyBaDJF4oz+iitg
dXo2PSEoJRhNRYCIo/7fSuL9jezLlgnDkYnvNJgJdXES5ytASwmVLGuM8qTadP7hoQiStXAFErNP
IF+o0AhK15k274q8UCsMqtFT7lj7fIjXttNtyoyY777eJYZ0WqTAl1EIrLLEKg9ZbGFIjptPs6w/
2k4FN6PFpmxLnT/M6Z3ZBKeEXE48myE9sjKxrqcQzKzbLEklo9Iy5dKzjVH2lUk+Lqg3PRzQwyYK
IjDCBmrXQu6iVawgE0nQxyghsVrkay1BGUMqMsptb465RzIWbGjRlJxJFIe+QX9l6iZvGOT7gUg1
CzbNqNKF6BydDo6MZ9FojK8m17mqcn5v7WAyIcL71eiJL6VIvjrEgfpzUKJdYlrGCx7tELMGu6xC
cop93S8LSd4QzpVdGIY0HoIY9CZkE6rbTXIf19AmpYzpAm30/2bvvHrb2NYz/Fc2cj/C9HKRAGFV
r5Yt+2ZASfT03ufX51kq27JFO9kZAWGAw3NxsC1pkVyzylfecoGg5twQsufdqK9qs/lUBgXgiai4
NS3vIucSpaDeneo9BjVa4QqCZtosUolGV6fLxdwR8pxR0ZzleZhjOJ3FK3Ax67w0jo1U/ZyELTIL
Qn+mQ/lkpN1qaQVt4Ch4bGEfe+l4PqpJO28sXUO+u7yLa2nuNlkzw+HvtPHtEAwEtwIlz7k0QoLP
ItRrqizU0HSDWBOrJnpl5lXkDjSOOohT6ugtCz2xV52UPRQqLlaQmPFhxsSgkNYENaeEGRfg3U80
DWgYwf9J0bJm3Ka6LAKznhFfKHO5HZqlLhB0CHxVYbMu0GmzDB+avJNJc2647DBSaOTl0roMJZQ+
supsxPiVpxeU88Y2r1VTPXNoxS/LgaKHnuh096JUAHfGYBbrNZIgkWxhO+MuK3Roeqf3V22Ynnm6
+20o2mEVS/baqzRzYdTyZ73AGVYr6ILHqKgVtUk717vyOuVU6QULvYdv5jyWZpcvEi5IrlHzyCvg
n6NQcFo31UVAh1W6yjIrHrdDH0eHFixgJ8o/47ZQ4F7RnlSCV50CMTgOa+drFsnXtVFy4Q3zssDz
b/RWXJ6LvOqOnRqBPVk9yWL/PMiy4z6sztMsvmzTKIL376Mq6jbdkeka30dTaoD4d5q+Dhq6dEjg
t+ONao5nXgFkXgE/s0LMs591msn76muY0+tOAO3BzGFpoF2WxtdKAPGTxrlNgYCD8DkpVShaSW3A
69VmXj5eNiOMsRYa8GA0Vxx2tJHrBSK/AGQCqj4uTACtqk9tQQ2I7PokgytAAC5Ue29GfLpmpqAT
+IJYoJY1GyWx0rXjKSDrBQFBo6oD4sE7LAQ5QRU0hUwQFqSGlZPmsOdTQWdIqGnZ8BssPf2ewXdI
BPEBP8nPI0a/hhIJnX/IEYagScgiJiFeuwez4546hCuBiFsGWb5MRCSDp7lygW7+VhNRjky404i4
JzH7azT5QHESEgFKXBW6fDcQKmGHtgIAABhJRFG2iKcgRH1JRYSFiO8qtwcY09lCzstLh1BMNsPV
KGIzgyAtFNFaYEaHmYjfLAI5G2UC3hkMmaN/UkSs54uobxTxXy4iwUJSz3oRG1oEiTAdDnsRNaYi
frRiFR0nwp1AxJYGQSbfNcC5qUINMCg2vohEaxGTmgSnCkGq5zwEhKwVoWskYliVLaiKqLYmvEX4
eCWLeNcVkS/8cJz1RDTcteEaOULEIkSkPBAyBwxnixjaMPD4JKj2oazOwBW2J7qIuHmgxN4gM/qU
bmCSwzsU8Xljp4fOU8Rul95Rn+G+Li0iWzvx8cqhn299k6sxOOI4nnki+Pf0fiX5xY1KVoBwTYks
htkse5EyOOQOYM6CuUT/vRRpRVsUFJ5INMA03zRkHojMh2jUFuuGnMSI8vNOJCk52YpX99fykC3B
dA0rg3wmI6+RQF6D3hyaVUfOEzmoE1SWdZX4FmZjMYrm/4qnnsT9dGrOf4insniT7qCmib96E0qR
qQOesIB3/SIaqx6go0e5l6AJqJxghf8QMBe/ihE5Uq2gw4SmzWsohYA59QEhREufVwD//wlCX7FF
qPSjckSmL9ittOCRyTFMCGq/FNl1OwlLvVGHC7v2yksCi+Q6UHLrLot19XjooujroNTWykal7YwT
xGUXtT7ZVzt+tpyuvvHlLF7jXxecoF3qLi2pho8bFP7SLuTzOPads1ZIGxtC5Bgfav6+hcG3QD5Q
QINIhSTbOe7VEcPyGjwkSKwIkQgZYcy0cxfygHlbiWj6t8T3vWNoUSPA5DpckFfg6kuFYj6Uw2dH
LeZ+rG0GN7GOGyHdXGdSd5IKOecy6wBNCInnPpYv4MnRMAyiaO6YBV45KEKTwQKUcbSa9mc41gAD
w3CbD0qno8aXLDCx84Twy1e/91wCtXYeiMsuAxrdh2l0pI4O5o5QIC49xbuTo+E4aLRypefplZEB
JwzkWlrXpjfi9tZox74vW8uYIEsBbnUEJ8xZYM2tr6M41Zetqrqg0lp7FhgeaPokh3CWtVdjGXKX
xhUGcxI2g5KBgXeEiofqOeehBlqrHZgdqZH866DLtQWq5cgoQjFYDFaXHxV+ddyo4Td0fJHPxhpY
MNfCJdg67JWKsZ7j6e4vpU4pF7EUySvXVA5DXUKfrvTmvdGukzpyhSpGvmkzLzzra32LcA+aHbKX
UYcgZ+xS4tvQuzE1ThkLakHU92u1jT+rCKo6p7qDMyMVpIu2UC4z1f4se5UF3o/zkaCzV2sccgqA
iEihkA9GAMdb3cPs08jnVpqcVJqyNYysAbbX3bQUlSg94cAaySnXZyJfWJ5zmCbZutWM07CHPN/J
a1+BkjbGHmZWrnmJjOxq9IKLZAzqmVljTqoDuRyN4cxASCaPpFsSnngx9voJIH1+0rjfErW81zql
WDi+/dBbkEWM4bbg0kV4JKeUKuxW6xTI/nkRcc3NVc1sHnR0B+ZgRkp/5Wb9qdOlObsCX6ZTBXeL
BuBZnB3njqst4Nb3p56pBkf/OoyfD2POrj8cxk1db8sdZVf+6s1hLJhQqmZohsJxR1nz77xWwUYd
MSJTF4hlhFh/HMbCYJhEl64LZ7QpaqtvDmNOYNjDaH4pQpr1HxmsI7Dw/jDWAeVD2KIQBln5l7Jr
q6ZqXUjOcIF8U7UCb5MuK27+iO4aOl4oSIe9MStaQ5Kg26X5Wdc1N0hLrw07goVQUkwJfNk47dMe
hnqokupV+rGOduw8HrRqpSoIRUA8zQ7xi8ivVJ1MEQoKAL7BMzBxyu4cjHfnkiE/pESI1AvHqySA
bON2WQzDo6Vg6FkXox238zRrocrnVjQPso7Kms2ebyiUYZ2kXkWaFB+1CYTIBL6vXPrGoWT1mK1r
bnWEb1tqoy6WGvMgj66RXNh2UXGDjs1pnqBKVMqmdBT2Un/sOXE8H2snv5Ab85uqqtdOwSiuEp1B
A+8wnEWGSURlbuecycRYhabGs95rr+Ro/Jw0+S064ScYDn6DibkO84QPO3bqHBGzU93Av6LpjLMx
tx9HB3YG7nfF3Fbbk8HKsjlc32IuNfRwfBMZM9SlIl9D18rO2Nc4cUjFGZWFuzCgZm1puYtrTlIu
O2O4HwP1HHlw/gP1rMD3YtSgtcK+rDQbvXB8xxCQ8oVzsgyutIBIayOyUeZIiVj9SnY6JEXqk0Zx
oHWN29G2g6VhtSdpj6yKVVr2rKrIWtOmysk3wIuXNnhIxyPr7FT9S97EZ42EcnWh58u2V5F8GrYu
IFICyXquut5mGFJEpRA9sCIjXdT6SH1frmNSAUROywFrZ0DwmIPmV345buwC80alhrPix5k5L3UE
ZVITe2W1/hyG2VUjJzInNveUHXPCFqj2JnRntXTdKOZV33lf8Op1ZnVSYWhcx4tWSqAOmSxXu6J4
Cp+BasYwyodWnAbLLAENlAl0XFA4n3MXMcyEPBMrkBO3s8GmF6D5UCjfEBd4OCpnG6vXSrQlJaRW
JHc8dGtwsThRguT2dJI9ZKRmuDHni15H0hVnrxvLtVhTpBiHapJgmUHc3qRI8UHdkah2CySprp/E
UneFN/bXlFb9LO0Te2lU5mliqocYRKHA5zkXfVpVXJcqoq++ciR70G1hWpDKdyhTAfy7yHB5KjOi
CqKohyZsvoSJhvUfxD29wTXJS7YcUgjaeYmQqDpvIQwuEbqFml6l7akzVJdarj2GQhK8yv1DLR7u
u9A579X0JkjjcJ4YI8bHtTyrJMNb2UYYrnKPG6Z24aplBQRn3KnCMNqGIyTAQXXXY9NRToglc1bp
xBKOJ2yfPWo1XhAvpTz6knbZF6X0B6y09U0ph99SEw6OUoP5zTMM7EjNzprM/hyW0gnEp2PbSWSa
LcbS9DFkxkQRZkBDp0QB+uhIX+tiWKMpf5qVWON24O5mvmfd1SPxVuRpzmGbY8hUJcgad7SYwJ47
+oUaZba0KISJyb+uxadr0fhjzZfSG2Zhw/t7UfzZ3/cimQjXGCwUWbhX/GQzqx2Yb+/LlwxFVw6Q
nHAsmCsqIvk4Kf24FJ0D/h0pb25T+ogyms//QNIKXa1fL0W0axwbm1uH/+Oj/NJrlzBCNIuiSi5T
Bd7rWaU2VAaHJuDig7feqQ6qmSQVOB3nDxTlvo3Z6K97Kb3RJXaiZt0Pbecv88Y7LCmKFnmQQp8k
1mt061yuFU75EKlDUhFsNjMHEqM3+Cs1N1EGyL1zSXIjIepXI7yTXVRD/SiJ+NRwukc9l7KlT+DX
OMShmR2c9LpgczjhmZQXl6WcGYvM10Y05Mx2gXtmDPK+RH+vzmZlU963Qb2CuTSsZdW+l3pl5Xc1
HLLeO7Ss+jylMDiL4GzNjKL72tnSbVwP8TyMlBvNqO88m+oKlvb2WtE088ILKAFQKK8hx0TlElD1
BjuAbI0vB0ctuVeAvHCmF/DkRhU2plXM/Ca46lX5OJGNrV4na63sNpUenNBgimBLSvMeoQW4lvy2
c5jI5V1DuJ71yBWkkXeXVeadExIfUxzStYfKcR5Ktboox+CLkfUPEYnlAgXikWq4eYmxFcU1oztM
fFzgwxpJ5VFqvBUV3Rt8Ic+xmDsfKRTPQznAqUnFetIo7OQohD8wM5QaP1NZv5SMjo6SsJ01JHqn
Xq+chL7prUOpMeEcxGd+0chLu+pvzUo6VrsCUWyrPrazFu6qk1zkUIugBRaIV+epuh7qbm1Ti1qU
AQzXfIjtdWT55SKUuaLM1u2XRvNEwuSn1qAell732bWtFW7pl6bcoOaSopwqOcW6xAa9hwc/8yLy
QTK3WV933kzvRk5SuTzCsQiCsSq5awJTd95l7YlsIS3Io+A3y/sQbyhUFS87Tz7yQqufm2q4xlj+
Nqn1Q0eBXx2N5m0dFlBwvc+0Q7fUGiSsUtQMSXRTqAc6PjS+8S4Ni3zhqRzGVv4F6is3VNXdSg5C
mvwpLWLa2kutjW4GCSKNpuK0rijZ96RCGyLI8jN9cC4iHRpzPfQkwll32vRtt+xtNEcsSGrsldKm
+xuocxcD+K6GXRvhnLSpXfyQ6NpS/ysrCcZtCEcVhlNwS4s5ZgUG1pK9Bg2+beZ2bdXrtCIPNboy
P+wV1Z1rmXwyQN3QU1zJkxCz0FGSrugjw/1Mi3Fhqcl5kBLSYkxjzgONa7/3Rnrm2SbqC1mstRtd
O5aG75GMe4zkldeZVS21oQ8Xvm8hdJZBIba+oxRMd8DSv5ej/NWpHAzo4/N8GKguK9YMKQ1/aQ4g
i4ekuPabahPryOIHw5Gdjcd648CypbNDRY/qrU1lsrSH72pVfvOk5qTL6itgwmd1G0YrqOSLMerP
NIc6viLjAgzjXZ2FDWInjeO387Kuv+dSkiCh2glghbUJivIbUuxc6BmUJjUjiO87Gwcq/FNxQpBs
WlQ0pRT4jOZQQlKJzYcaszuYYnCSOJBPKqnsqf43zcof2+Pa1dq5WnrXpt9vQioK6AYgWVUXVUx4
RLG00kEFJ8iP+HBSa7+/qQ2clKlqLOOe9jFyr+oyTY2STZexJWzzLC6DcJn17nkWa4L24IImkrwb
TKsvsty5cVz9UOsHbLlTh+h6iK/dnOY4hggrr7bju7Kr8LzrENnBUU9wntjYRvjFMjWS8raLVhyr
6AWr/n2fZphw68EKR7FjDvTrQc/aw4I+1YIL4CrXW5UaiYHMr22vfTnADaDS9JlhZp9cOz32XVOf
R0WMJHJ7FaDhNVPRMXAh2cHXKZVl6sX8bdveGGZoH45pc093qJk5mJvNSMJ8DMgKae6N0ndHV7gv
/DJY2450hV/Zvamxt4vYsom/bWmO1g10J8zPzuUC81zMQe8UO3HntY06czL0mMzgDgA9WcZtkjPb
yFMZur5cr+I6u2+c4AuFBH3euelqoAQ3U3jkhEJE0Z0Gm7Du0cJxIPHNzTYwj2irEezrwC2QpWXT
oJnW6O2tP0RXHXfivA4pCwVGFVJBNzwY5wPLDZm6RRPybyRuJFnSiCquHp5hP5CR2lnd3JO7Dilm
89bAAwGF20cjMy5DL9/21NkJFsM7mvR0+0qJpdekp8hCFueWgV+mDSHcslL4l8pRHeclOAa1WUZ4
Hd2hERMfVWNxq6lsfIx4v0ho86JP/tgV8cpxw1sue/kkMJEy5f4/qgLvwgqKT84YHWoSwaKF+Cw8
fdp6g94dusAnrBQB56zVwTUifrNQLesh6DMJAQDsIIosH1dDZl8rblIsDUFQS9GmWOY5kgVt3LhH
cjlsTLCDPM9WXUWR/alPQXnbrnQceN6mhC7qRWjx9WGO/nHG31v5ZRahgJM5srdEsOAhR1dvhUDw
V10O4PMV5iWp6edMN9duHveHo6d9D+XO4ozFAlZVIYjaPexI04oJzE0yeTkbWH4hiYISDFBoRuWr
WbXn9HGDJQpP5AISpzaCmKAWLZAephRu5FQ9Q63Wn9eBG9JGzE+CNmaq63I9jEgYN5qIvOXoMKQZ
MAcvz30nLIoK1U3nWVjGS4RgHn0PVmJhe+WKJqo8z5K2XWQyIrnRKE5V80uCGQfmUK4xTwrpk192
t6VDWpkGzhyNTbyjUCPwGtIfj/Rioer+TW0i5OzG9VHjYaKeyM6tnjaXXtw5cxpn3TLJJQSWTfaT
1tar3pPiBd3MI4nIiQ0ZynO8b+9zL8Fsifuc2eIKQevIhIc1FsG2o9Ek5eZ3U5Y+SQBWFlYiUENO
9N0SPSsAaQ/tUJ443OSzwTIecHVdFzbqlKmnHLupltJ8b/V5b0ZfvCRBBLgv1bndwAuUkpXn3su2
d0pggF03powzpQmPcyF2Dok+PFeD7MgtSn5mR189iZ5g0oWflJIWft5I11bi4DKfZEe6033pibnQ
Ux+BUeVZuixq1BZoKdJ9jAq+Dk6fM7sr8evI9BMbpI1tDzQUrYLKQNd9pyqfzFgz/dKLtBUmmnd5
y9b1S+Uq9lKS6UE708ygxvYxLGd0Wm/MgGcED14jvOw5p8v0rNdL9IRN/Vix64cwATqkBBj19KSA
iFrcjjHM7CH+pOqIzXQVR6ol38OqYPF3qTZzasTQs7g5zatylcqQ1uQB7UPgDzgkmuHWITb2WxNg
Up9ux6REcR0lDK8cj1QVvVUk1tF7uc1bOnQVUZ4VcfT5BSvTdzBhz2jXLorGWst9+d30CemsrP+q
JcR8bajMgzi8g6N5BOVygSryBne2+7BuLnS9OE4CaL4ehE00wrkpNfLYwrrufWXZG9Rv3SK76Svn
EG+xI8cgbZRD3No1XH+VYTZomGq58RKR7lM0047wZp3HhtyioBwqw7zwLDW6itPRvBtQU4clIxkt
/2DUebsYRAvPyKVnAt2/cEfGH/tkX5v7zY4E9OcuGe7UOqhXIRkh8EFvC7Oog2L6jbjDL3hYBy1m
B90HC4tgslEBA/rRJXMUG6tGfqSASvpn1t+YRvyag9JpA9OkI0ULxZFuHj9/AzmPa8TnafHKFzVF
UtdJjbVJjfNERdKGu0vJafVQVQUiSX0mQo4no0MM/1Q/LjMjxa2IUC7QHeO0FDVa/ala25nrlvJt
bPf5WTlK87yVdRLTBwU5vIWadPSl6KaPZnfkuPYqsIAiIdW2boQDUergwGt1+m2Xlod64Kef0MrF
AiDPH0x41RmVz1LBqlSHrjwzveIhHrAFzyquvqLrDvu87wluMj+9kjUSyFAnudKosZmds6w72Z0n
nQRTURGaDHFB86TeWI334CZ2t8I6Vl56Q14c2amDY1QmXdNvjy8doJIADQANoYuAyNJgWQsXR4a5
J3HMpO5wCQaWQqejPVaBeeUbxbldBxwpfnQXqNqnOnPyhRSq2zwyesyovNsSJHBAk6wxuZOTUTl0
C+dRlqMUHr2PmEx/lcqhEPz4mqTeSTg6nxQgrDNjFPm1Kn/KrVCdjTyE2qf2GbtchjSaNkNTIetl
VXd214AKgjc+KwxzATDp0o51BVWq4CpwuPSlBB2M42FAHQoF9u9ymR/L+OXZY3DSCgM9LayuGxPN
xp5TBX16bhgLv73QjGGF5zF+5REXriQ1cD8d1SIbreMqAh9bJssgrewLR82HdYzQ5aw1wyOUHh2a
/uVWLSitO6PlXUkiWxgD48Gh3XVeDOr3mB6UiZEnzTdgCs45bsVQDFOUMtwIfQu4xtEqjdP82MNY
g4o0eV9sX4Bqquem6ZC4DGR7EbCpSsmOm1I9zxELIoAY0YcOdKLPBoCYYsDP77k5CWK+mbn/OYpA
UpUNShmqn6IyDX6s8pjcOA0z0iBawcGAXGF2nwBVbehcH5PGXSl2/l33UbHx+3VT9PY8RWN6LmMZ
cmTGxVFuJsd9bSAzoF0MSnSha00/d4RApZyFX+TOvTUSqTqsIwcVL8m6LWsPKSJFPXVzFRkTm9Sz
KBIhxS9fJ0N9LHfBuojC6yDAWLqJv6LqdU/XOUNpER+KgSDLLqNmAdpJiCKnxK5MrqFLx20MzsiU
BWIOC2aCB+sUxPIDis3aoqqHL7mmQnFT4HxWI+D1ekQJCNWdyB3leZvK513c3fui+m+KPkBqBsUs
ozWg0aBxaBWYtAxC0TuAzfRQy93KKkWCKvoLNBUz2qYNMj70HgbRhUgH47GmLdEVOJAmNCoKl6Al
EL0LlN0QRam+2TQ1EoxQFZocCpJSfD4Q+LQ/HNogpeiH8IEX3th26J1EcOfpmWCFfV052rdBdFM8
HTRiIDosUjRIR5nouqRkBi1tGKjsW5+2jC36MzlWzvZMF10bV/RvRtHJSSx9iZJcswhFlyeh3RPK
5OU2jTKUVCra0xldIRiOcJFEp0ilZRRmot4sukgAISmPeP1VqMoyDhvygy16Tv9far0vocBOO6W/
lfzFTy8zKgCfsneeS/+jX3qtp+4e6B/5M4mr7qem6tMHe3KI+uM48YZMrXnEAUrDEsHB3RjnY1RG
eXF5x1nqvfxYUhCpBGQCZ0XQpHivN3P0u1n48xd8b131fpw/fvhfTark5w/2zBP8e1L/0SQ4B6iF
0eEHtPP0grbz0yQIiWpkNTFRpam7l5MgZAEmrwQbTXcCLud5EmBs/jwJ2GSDycWM63mlPL/j//F6
eBuZAkP638wCX/PHdoClZSBFTrfieRLoZ/w0CWwHSokIn1COf3rt6XpQeHoT14NxAJcZP9sniASz
sWMqMHhwCPjhCuzhphAH2uRJsA4AtNkgqrTnx81X/Wk9cDKolqpbJkfGHs4B5xmPbeJCwIiPL0gf
i4P25y8vczeowqz+ebc8v9X/8YnAg3h3Qzw/nGk3hAHySOyG53Xw6zUpOKHsFLwK9nUSBEN/4kJA
r5rz35J54E+vHdckuFcFqcLnisIeroTpx6J9AM5MxRCKLrl4vZsEpLttEU3oezsJ01cCOGaOfgfk
82+2g3pAomhTxmSj7Oe5+Px0JpwJoCgsCNaWKmZCvN7dDTphpa5xNzyfP3u4HZ5v7gmTQP5gATpB
BvV5DsSV++6OcERU+eQS/nod7eFUPC/UKVNhHiAwgtMUOdPz65epEKmUDffffjmK928SlMn5pE5I
QBFYxxXvl2+v6gcK1WFMe162y74eDNODRrwEhfsQor2/zgHHIhVlSzP29URQpoeL6oFFR9sQmeLT
69c8UjEOoCazTYgpxWtvA6bnZzTtRLDhDamkzb85EUQw4Zhg9vb1mlSmF1fMAzJEciSd9Pzp9cum
ECk1PyNy3s880niy4pwcOpMnww6AivD02pE/wGjg3HT2NWoUbbNpk8DdoFNnxE/tad+Df/1lJaiE
zvxYh4uxp5fDyxKdciboB1BnoQa+bodfVwImtSg0kHELnuA+H4/T70kLrLFQ/qc/vHtTYP+HORBQ
5b09Hp8/2JT1YB6QThIQMA2vz/vXABo5J9rgokO+l6mU0DaddjJoT+ojTIH9cjQQE/w0CdwRkLss
DB/l56Wyp1MhxGcnTgVhMq0G8A8vRZZfD0mFErUD7Us4QezncpgeQjoHioiYICj8Zk9gvI33LNSF
fb0oXlL+KQeDdaDJCMwhGveb05HrFLww94T+enDs5XoQnI/JewK6pa3Bpt89FRwPVKEVGe+7fd0U
kwuPlJt0R3YIlM3nSXiXXMoH6HNToH7p/exfeeEl652yKUgmNBlvp5eOw66mlOqQTqHOuK8rYfp2
IEKkH//3wfCu8Ci2A57F4Of29o6YHjdplBkoK9rmbzoy3JNo+2ChubcFBsFgn3gwmtiEmsAbYRw9
vX4NFmhLYZCNRMne9ie16VUW+8CwALHAGn8+GIkJfgoemQTdEf+jfyde+1pwEuXCieuBk8Gh1EKZ
4embvs+waVeTYKPyt68FSKF+PG0SKDNQWjTJsn9Thxc9ew0pCVPcI/u8Hp6D2ynXJRcBDAQip5fk
csf5AAFUJ2jY17KTUO+eth40ckcA5rSoXtbDu/NBFuohRFZCKZn32r/ASfuIWgslBADw2ksV9t0k
sCkQTuGY3NfjUeimT1wJ2oFjywaU6ufT8X30SM4lCAnIpu7rSpicR2hCbZxSMzWn5+uSr/ruupRV
mSbe3p4J0y9KizalUDcgSn5+/ToJiCqoMg5TL1tvD8+E6dEjnTocV40nE8mflgCxs4JgEkWolzWy
p7tBuK9MPBLsA9xVTYKm30XQT5MEeUig3/bzcpg+CRTiWQe6UK56eu0IE1SHDp7jPMcRe3tFTE8r
DQJk1AIICJ6ngq/609YQPSquD4B++3pFvKPz/XNSgKi/KnToqSA8vUgWfp4E0I6A/IRg+J5uCn16
2KiLG0A0n36TRoi+tQMxBr786xWyl+fDO1n5f74eCItoSAL7/F0pWjkQNTfyiH2NoI3JwaNANgFk
4Jx8edw7ImiRWbMc9vV4fGd/889XAt1Ki9QZHcXnNc+B+/PJAFOG0iP12X0NHvXJETQrATYU8ZH2
u+NRPSB4QkPrpaKzf8EjwsNTAydAbhC7QfM9F9Xel5rkA37IAYq3kXjt66YQ9kmTY0hqsGTOQvLz
590ARNgCyQHwcV/vycnfXsCgNRIlWPy/TaVMGIYGKIZ9nYTp+aRoydCNEKX419X+80rgXNQdtsLe
JtX69NjZAr4lA27FRubptSNshC8BuAlVwf3MpV66hlNKruRSNgANkqXfrASZy0FVsL/8B9vhf3CD
/M09nvtB/PhETQ621RMN9ply+9/+witv9/0AbxhVTyTLn37z05Bvn8d+5l2J//6PzSPObYugqsvg
oVafSqpvfvpaYn16p5e/f/mK79/8pzd7/V6v/3gYbMtN+YAQQQqleXj5oOebBG7zf8b83+PmVz6Y
6Be+/pt473//t58/7Jvr4M+jIza5fR3o6PHf/42eC5pXgpP946v+bwdPNo9Z+TrQm8G5RyYPPhNi
26/jvBmb7Tp57Pkm3rQ8kup1rDfjs96nj4+QUfXukTLrBDQfMHhal5u/5llV73oLrsrJb7HYxn+d
Z+XO+ecWmjz+Mv5rkZUsntex3sw/Ccvk8VflttrlmiGAN5MHX8fbNH0d580H/4jtetgk91n8WL8f
XpBeJn/0oyTflsEmfh3qx6cXjIrpw6NN+DrMm6E/YseebMsdcy4wRJM/9UmQejsOAsEpmDz26Sba
cYYJZtUHDF1V211z8hEb9DSr/vrP1NvG210z8xFb9GzzyAH8Og9vVstHbNGzDZLUO8b+iC0qxs6z
Xae7QBhPfqxn2/Qxewh2nV6CtP0B45cP28fXgX7Mu4CCTh8847O/jvNm7I/YpmfZzjn5iF3K0Ph6
bIcdn/wjdur5Jt+x0EXVZfKEn2/bzfvYEVOnj9iiF+WGI+D1U755nB+xRS/jzcN2R+woGhaTp+Uy
bpJdwZ2AaUwe/DogdKyCxx0zI5r/k8e/2TyUpARpveMuFTi0D3iD9K/ZFsn+XW/wEVv1ZiPeoEw3
5ePOg0zwDz7kWyyCrbfrS3zErhVfYsUOeAiqh13v8RHbV7zHcbYpml23lfYRe1i8w2kTVH9d3AdV
vut7fMRmFu9ytqm3u8b/iP3M+PXmr9mmvN/tK/wR2/r5PeZ/cC5+yt0n5OIv71A24+vy/3GmiqbH
9C3hb3bmhKKZMH1wahi7AjZRpP+AwasI+4jmdag3E/Mhe/lPLoqTHyuBSbLjghewj+kTU2/SoIo3
TfU62Jup+ZCt+ydPs6lT82nrb3ZNjYDPTp6aP9vOTP7oDSfBjitesEOmf/SGAlGyqy4nSruTh//M
CM2uvSpITpNH/4p1+eswPxajaFBNH/r3Ks5/fp67yrJ/Q2TfF2tf1R13/dnPtWjxGw/xdlP+x38B
AAD//w==</cx:binary>
              </cx:geoCache>
            </cx:geography>
          </cx:layoutPr>
          <cx:valueColors>
            <cx:minColor>
              <a:schemeClr val="accent4">
                <a:lumMod val="60000"/>
                <a:lumOff val="40000"/>
              </a:schemeClr>
            </cx:min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C40CD2E7-F891-48A8-922F-99C89866BB59}">
          <cx:dataId val="0"/>
          <cx:layoutPr>
            <cx:regionLabelLayout val="none"/>
            <cx:geography cultureLanguage="en-US" cultureRegion="IN" attribution="Powered by Bing">
              <cx:geoCache provider="{E9337A44-BEBE-4D9F-B70C-5C5E7DAFC167}">
                <cx:binary>5H3ZcuO4su2vVNTzpZsASAwnTp+IDWry7LJr7BeGylaT4AQSnPn1N2W7eluU3JuOaMeNo6sey1TS
SS4gkbkykfjv++6/7pPN2nzo0iQr/+u++/1jWFX5f/32W3kfbtJ1eZKqe6NL/Wd1cq/T3/Sff6r7
zW8PZt2qLPgN28j57T5cm2rTffyf/4a7BRt9oe/XldLZp3pj+ttNWSdV+TfXDl76sH5IVTZTZWXU
fYV+/+itE/WnNplaf9y9hn//eG3WWbD54Ok6q/qPHzZZpar+c59vfv+4cxv88cNv49+2p9mHBJSv
6gcQJuSECeRwTh3x+OEfPyQ6C54vWwixE+4SW1Ab/fq1V+sUJKdr9KjP+uHBbMoSHuzxv3vyO08B
7+Jf//Ed3G/fxfbtBwDE7x+/ZKraPHy4q9bVpvz4QZX68WWZ3tPbB/1y9/hmftvF73/+e/QDeFej
n7yAePxi/9OlXRT/A8KeTupy/Q4IixNsC0wocu3HDwyRHYQxPrFtTqhw3F2Ep2t0GOGR/ASERxJH
hvDdOqsAYFMP74AyPRHMQY6N6OF5vEUZc27DTN5F+W1aHUb6wD0moH1A6sgQv0nW9xvzDmjzEy4e
7bZ4mtNkPKfRic0cgmz8NBrELubT9TqM90h+AtYjiSPD+WrTrB/eyXZTzDixn233IZwRGG5nPKun
a3QY4ZH8BIRHEkeGMPhm62Zj1uW7TGYkKEaYsVcWaPuE8u0S7oxM95uUOozz/i0mQL0vdGRo/ysB
F/ddJjR407bDMafkyTCzseHGJ5hhh1Hw0p6c/Cdv+w0aHQZ6fIMJMI9Fjg7kXGXvEVLxEyqIC/72
ayGVOGHwcV3mjEGeqtFrGO/IT4J4R+LIEL6rq+pd3C9xggjGYLLRK842OqHYRc7esjxdo8MIj+Qn
IDySODaEVRmrXtf//KrsoBNGkMvxL0sNLvQ4bKYwy12bglP20lTfvUGnV1Ae32EKzmOZI0N6nnyY
abN+0P881ISfMCyoi5/XZLEHtQ0k2ZYlc+mjhzZiwt6k2mHE928xAfJ9oSPD/F8p4P0+4TMBFwv4
EFiAdyc1IM0wFkB4HkJ6ukKHYR7JT8B4JHFkAMvtAv0OE1qcuAjCJfs1DwyjE9d1KIIFfNd2T1bo
ML674hPg3RU4MnRXdfpTJw/VPw+wA9OUU/CvMETEuxPYOUEUERtCrCfXbBfft6h0GOK9O0xAeU/m
yID2NCRitvRXueW3//EUFT+xEaBJCCzC2884RQXUNiKwODMEV156Ym/V6zDiB+8yAfWDckeG/PnG
ZO+AuHtC2KP5fvK3tqnHnVmOxOOQgCAM+JOXiE/V5zDSO9ITEN75/pEhO9skH640JL3/eXi3oZXr
gJ+1ndXbzx4J5kDK0iFAgo1YsDcpdRjj/VtMAHpf6MjQhlTchwWUGNyr8l7/mlL/RHkBg4Xathnn
z1DvhVb4xIEKC5eTUYpqR6MpY/Aw3IdvMwHyw4JHBvsCSjKy94io6ZY8oa6LngmyMexgwBl34S80
qjmYrtFhvEfyE4AeSRwZwhe6/PAvqBxKNu+RuXJObBdjwh33yZCPPTPET7BDINZGT6mtUbT1RuUO
I37oJhNgPyR2ZNgvk032Ht4ZRNfYdpHYD77AERccMeKO1u3JmhyGeFd8Ari7AkcG62mab4xaJ1MW
xTcWA2LgOTF3t4Ujj59xuQFyT4DxBrMO5Nn2M5rPb9HsMNJ7d5gA9p7MkeF9p5P1uyzSYJwhR8UZ
I49g7kVZ25IxR3DXHtcdTNfoMMoj+QkYjySODOHTrH8fJ4zbGEw1e85D7zlhHMy1oBSc818u/1Ox
wVR9DqO7Iz0B253vHxmyV+v8fRgxLKBKBOjrp5k7ttMwc4H/BP6bjxbiqfocRnZHegKyO98/MmQv
10bl+l0KttmJwx3MALzDdhmCJ0EdxjGzn9zu3dn7Fs0O47x3hwlY78kcGd7nsBfkPUIoegIkJszl
XyHUnpEWJxSuwVQfU51TFTqM8e7zTAB4V+DI0P2hk/dYgaESjMHqC4Z4RGBDAhIuMAS5qt3JO1WR
w6DuSE/AdOf7RwbplsC7qFX54fqnKvP3QNeFRRZTKL8GhnP7GWcpMNTtQpwEWeYD3OYbVTuM92vP
OAH610SPbBRcrON3yGAQyD9BkAzr73PoBG7WToIKHDCBXEQ5G5VsT9XnMN470hNA3vn+0SFblpt3
oLegtsCB0l0unr0ve8+5hmkNlx1ORyvyxXqqRq+huyM/Cd8diSND+Ef98z2CJyjeBYCBv3xtuwUU
B8G85c64sHOqPofR3ZGegO3O948M2cv1A+yleQcCE3ZBUgz0M3veL3VgSYZ6XQiv0GhJnq7RYXRH
8hPwHUkcHcJGvYNxJmy7zdUFeJ9rdccZJ1h4XYLANG+rhF5Whmzj00kKvYbvS/FJ8L4U+F+A7t+r
uPPE253s//r1eg9UCby1BwEDItqhVKDn3azjWQuEB0UMM7DbhwgP2I72V9+EJ8gP6XQY15eyO8/4
9Ih//1L+1/UY2Dr9Z3pd1NOmwhuzRzA3YWY6GAo6Hj97jhM6wQKYDiGerDPA/HKGvlG5w3geuskB
XHd+BO01DokdGfaXm+xB36t3ySRtXaptHRd75qPHExgTKOhilJBtqddLzN+k1GHE92+xA+7hViL7
QkeHtrmHbijeP16My06ITQXl9Lmga28BhvCJg2+NmPNoBEaT/HIzVa/X0N6RnwT1jsSx4axhUv/z
MEOJpiNsAbzzczuRvTp7+wQsPeyvQGDld2b0VIVewXdHfAq8OwJHh+67mOtt4t+FDRS/ajLH9bfg
b2HoFQMB8jhK0tP0eQ3bF9KToH3x/SNDFhwO2Csh1+bn+l0CYWdbVrsNg14vwKSCEwdB36fHz+4s
frN6hxE/fJsJ0B8WPLIxcAnbZjZm0//z5ptQSDxB6onYzxzXAVecuhQYrnGfibfodBjzvTtMgHtP
5siQ/rwJ1+k78F3AVUMpHoUi3Fem+bYQBCY5bHV8islG3th0vQ5jPZKfgPRI4shwvklq6Cf5DvMZ
Kj4IZbBD/Rnn8YoNqUZISIC/Rkb19NM1OozwSH4CwiOJI0P4Tm3MuyzYUFRNbQLbVp/CpkNZJ7gI
SzrUY24/o5k8Xa/DOI/kJ+A8kjgynG8VdPsq1cN7JI/JieC2S8jz5sa9ugFouUqgFxhU/Izc7zcp
dRjn/VtMgHpf6MjQvlvfG+j4lVXvUSbCT1wGDaGgSuTJ096z3dtYe/sX7Hg9NLPfpNth1A883wTY
D0gdHe7ZB7mBxsHvgTuFxslQYA/pyCfcYTLv1ogA7ja2oY3BqEYEgp83aPUa4nv3mIT4ntSxIQ4M
xnt44tBDyCGCQlX2axEX7K1BEHJB7nkUak/W6BWkd+WnoLwrcWwIP84ek63Nw/skO6DDCLTLRpw8
136NY2tYvjGUfEJ/3hHQb1bsFcAP32cK8Iclj3AAzNQmeA+b/jiJmQub5EbGHEBHlHAYFc/Wfh/7
yTq9DvvuLSYivit0hGBfQsf/9wD7cR8GYxBTv+K4AbmCOWQ+nXEwBvNsslKvo717i4lo7wodH9rb
DkPJ+3DmEHbBVnUo6X0ttYlOYKscgm7bI5Llia2erNariO892zTM98SODfVw/S6NpYA9hRa8YLXJ
a5Wg+ARMus2hyn9kzidr9ArWu/JTYN6VODaEq3WmymRdvwd3yqBc24aeBPS1Wn04K8Hetqlgo5JB
OErmDVq9gvT+PaagvS91ZIh/hupIOMHon6fKt60BYUcdFKI9Jzb36BbYmgEbsiDxOVq136DSYazH
N5gA9Fjk2FCuYal+DwoVdk0Se5vTer1iFIvtYu2OylM+T9boFYx35adAvCtxdAjDsVXpu7TRh3JS
DoE01Is+0qJ7NDnkvCBfghDHexhP1+k1lEd3mITzSObIkP4K9Hj9Lqkv6PYHiS1iv9bfc1uOJKAl
DbVHC/QbVDqM8/gGE2Aei/y/QPn1E+r+Oupvtq7W88dDAl8cUvf3Vx9fEZxtOBJ9ru47UFL/V2+J
04ffP0LlL3Ehq/Wi9n97o53awM/10xT55Uzvym3Ay//9I5w4CNXEAur9HTgTZ9sDAW7Zbp4ubXfU
wvYOqGzBDoXNlzAeMuhRGcI5hlv+lRAOiwIV8BUMIVqp68dL4ADCDxhEddtqRiiV+OsYxxud9IHO
/novz3/+kNXpjVZZVf7+EdodffyQP31vq+82/Qp5GqicgW29jkO4ADciv1/fbrfjw2v4P6hxTWrp
NL0e3PCMICSdRruyi7PZkEV60QAJLCM/uXTyJF64xFnZNVqqvLoOa+s0S6KZaPGnDFleTdBZW+br
uHZ++GXixVl12Q3oIhDOagipkbGley9kwY+yTz41vh/PaZquhU2p54R9If2kzr0Btcl52idYJnFY
Sp5W2TdNwvO61vwiI+kND+NECi1sOTDLMyL+SS13QXx0E3b6OjduJHMRfW9RQ6XO6DV3i3qG65jJ
GLXquqb6gWodSbcLK28IGfVUE6NTt+cXVcVOiZ9+Jn236Z3hsnTEz8QvP7d9o2dREiw1rc+pOxCp
G3rtanaWVEkgReh+IZY1G3T1RxvSRdmYRhpkFbIV/MYR5jxJ9XXUxldRGy1yC/le7bbKi1hiSWSs
byI1udRDPrPd6CI0QyeHvD8nIq5OMzcpZBoPaBFSkS6sSPzRsfTGbeoLp+b6Ki8+2Zos0ljNe4au
getb1KS77VEjuyhSkhi0Jij0VGJ9bxz/G8QWC1rXtRRN665Ikv5Uff0lt2wyS4c6lqiLrvoGXl0R
15/szu9mZUzTr4VzSvuSV7LigZakYM1VYPOF3/q5TF3aen3d3IV9NIf/VwtFy2RWFdnXGtTwi2Hw
YmV10mn10lU2vBuOPG3350UDOESRxWRk82Sme27Lvie3iuvztvUfnCKPpKL0s6PprYUZ8ayKXohU
+7J2WeiFeZFIZcJby/VP3ahyLlxdhbIros/cz+65rWaZn35Kw/ghyszXQNi1hINOWi+Ah1rlPmo9
Yflc+roLPOijvyBO1UnFfC/RKl7kqp4NIl25Q7y0nWYVY5LMs7rr57isN9x185lDi8azWf5d63Qu
UJ5chC687SIplRfooZVZh0pJStNJizMkh67XEvbg55dDb74UQ3zr5zX3HDsyUisLSdVxPkvrrJaJ
0ee27pILlMaLmpffFWUXwOXcZo1WHlMi9Sw0DMs0i2qZ+aZdiD6DkUnwH3lW3PEGgHfbYNa7w5Vd
+w9+Y6EZadxbkfPbuvVXLcmMRL5/ymKLSxcGvYRyjUU38MQzKHMkDuJS5q1pZVSYxrOGfh2QofTc
0gq8BN6orCxzVjXWzI7pHPUslyhJ1TUcvrpUA07nfXxrRRKFviObYFhbcb+uGvo56JrPcYJmdcdv
Yoxjrw0Gx2sxiSRR1teeW5msEjYPh2oR9g09U6poZY4qF2BvAplZ/Rpw7c+c0p3rPHdkDE7VDFvO
BnflZWJbl51dZXPF+2xu98NaD2rV55XraZr2AJfKZd8yJnuja4mL9i5lrfaKskJLHwfCg9NHQZ8m
yWZtDSMQfv4nTrpe9m7iy9hRTPLEui1qe1OmMCQcmqozzdiX3BRXZRI2EiNnk+f2NbPaRRl1VFo4
ceZZy/CComgR2oO58JG97DIH0IY3fl5k8NBxBqOprrIfTprohbbABgeKC69pjCPB9K98h3Yrjfp1
QZVeCjCNTqwWBaktLwydy6EKr8uEpNJlNp/1ity1UdrKwNE3RWkvI+N8zgewlRrdoaDAnh64kbZm
6yDIz3IanmF4uFmrbCpdu/5i0QF5fqSKeRI1kTQuDOq49H80dPhhquI2LJ1gFSTWKo9QPU/BwEmn
qu9yjtKZiQFfYukZJ6b1WuZnMkjNz8gkYCpyT4fiGgzdMijCVGKn/Nz77dcYV99Mwcksietvjhjs
FcItmgHbEZ4PZdTMFA9drw+TVOqg6GWCyKkpo7uMkuWQ13rmx+hHG3e2FEm0cBMReVzEWJKcSmHw
14Z+asuzwf/eqnMnJJ+yqJBwRsrXyEq/KJICNFm1pJm+wtApycsTVK7siG4QGPo56sRNoyhMbcfy
V5bbJ5LRQc0TpmqpHGemRXtR5sltI/CKdQmYX9XPhx7dZS49D3U/SBXU31jVR9IuqrOiumpoLyu3
VjJgwY3TEzVLtFBLXJjIc436hvphmSQmusgsMP+DZS5Fz6xF09fxglRdJAdEiCxzDmj56bzNgzNX
cMsrKQ8HiXQgCtnXBK+cTm+4SsPLNqukkwdgsdm3SKft0lSKKVkVQ3+FQlt5YQk4s36gq4BXc6V8
T4P9OvOrQVwjYvS1PVjDyi8r57Rh4VViQs7XtdP3y6HrMNhjXsxh8YgWoggWqYsuce6egjU6oz4M
HegSJU1lDTPLOOSrYjlYiKYIpFNaq7BwrhynDFZZaG9Ib2/8PvgJS04k+7Bb9bY1Szmb4diGRwcd
S4L0LO6S+07FmXSDcIntCMvKJ2AeAvo97NJm2aMqmrdFOC9QqSXGw4I2lvJgs/x5AC87/1nZZ8jx
b2OfrSyrxVfKsGuSd76n6hR5cWJ/gdcPqzhKNnkXnTU4YIu86D6Zki4jXpYzl7BskXV27PXGzmcq
yZVERfs9qzrjdcmd6/QzmrhfUlHc9EVUSTrEp61DF0YlNw3ME1nqboGq/DPTzj0Y15tKtJmXhDAE
FC1ukWUWYODQsnUMLNmovMpCrCQb0CqjFZYiSq+ZML2M/bCeKxH3c9NVMB7aIJmFdAiloeU87ZJQ
5tQppdJ4PZQ4k0nbLpmKwDhzegUR8Xdj8ouOJczTqTVHqvPclv+ApWXRtPjWFM05zNwVw9SWRRt+
yYcy9yKVXLYIltoYXSi/OvcT/c3N0ffWj2GNyNi3EneXumON1yphychCuRRu8DXt7cxDVnI6qDPj
mMsuCBZ5i+NZrfin0M1hjbbolzpvLoculHamfiaOe1bEKAHY+4um4/WqN301zzp6mSKeeTQFQ2iF
S9tVdFa4zirW+KK1h/PaEOIF7mA8OtBvUZumN8S3h1lQcUtarcGzJnQG2dQi91oHE+mmWe/lJXPm
fDCr0sF6ZuzoJ2vBh+FdfcPykiyFafQyEGV5kRZwXndB2vMkYhyMkr+ME99airSNwOf0K5hcbsIH
5zOtrDOqWLqkoT4V4G3lMslJROXQCKrky7O+d5z8e533RgXh83Htf/3xfz7rFP5+PPz73z/cnvb+
7z8tN3rbH7Ecf2kbjv31rX8fIL4Nf/46TXwUVD0dGf9KxPW3F98Ujm337/x1HPxeOPbYJXc/Fnvc
9PMci0GfKjDoUEDOoD4N+vVDwPVXLAY8KnR+hr+hmQa4klDW8isWE3DI5bZzKPRigAon4sClX7GY
2HI2cC/4F4K277D94NdL2IEJwtADsRiicKcXsRjEm9ALgEMwBqWxHFqobXczvIzFsr5kuKu5uMYp
TOrIRUO+NEQH2Sdiwcyfu2Fa+n8Igs0nkvgZPUsblXkwhi5oJC5MJmIvT+OfcaHPenCNG1wFi95x
NEx/knSpZ8hwmnWkmNeN+BTz9s/ET8GXNHwtary0GAbPWM0Ct1jaQb7kGbnqcmtlqeSnazrisUhf
BFH7KcYqkrQys8DQFVR+wjIZ5RBqtJ4S2pIq6pfQr+QKD/ZMYfC529BNFrXdryAsMeC+oZ9RisBN
b9xTw9n33GGng2nv86y75MIk7tyHZ/shTDSrfBrL3NUb0/NZnES2jEQF5s7WxfVgWYsuAluCG7Qq
Kn3exAnYmsqOZEwsM89Tlp1CjTI8bWbZs1IP39KyueQDmN02KmEtih0zx4rI0MHLiNTBwsQk8JAJ
2Dxq0ZrH5jwu42ZWOAw8ZV3/SDv/jzqK7sJMX3c9zG4r9d1FWuLcy+zstFXgVApVdhJZqTuzW6eR
OuV6mYcNmdVWmnoQ0V/kUf8pdePTMoDFL8TRQ582XNocXG6j/a88cZAkAfi4uG4hjkR/Vtg6Q019
2lb9RWRULH1RRbIpWbYSbd1eaIOiWe9YluxodTHEySa1svY74HleuX8MKb10VOk1SXKTFNGZTf27
towqz7RxVM6AwCjCCwtn9TDPVBwEMk8SHVKJqlgUV13gstOk5I7luU24VJxDLJMGhbjEzArPWKyb
JQ5jfQrvJbfnjq3yZehzcefHfi28pEddJgsNLkXj9s4S4nMnmSV1FyxRr0PwojKDL1iS1N+4pnxl
DbH9/f9Hc/jSsLlQwfF3lvBlF4inzaxbqudJ6i9aCuq+tp3ubTiVxIWjC+CGf5lC2G23PaEbuAAO
XSwcYISeTaEDLZTRdqelvW1d8WRAf5lCDJ1K4IZgvzhkoLc80ltM4ZZ1+jcrBZYQKDMMDccobPoi
0INhy1q9YKWqgei8qOvuKmuJmDetHwJDQiIWezFrm09A+fRnUddk8dy24+pHpZ3mS+yUXSFLkRXf
Xry9Q4YZkmxjbaACDhpbwi5wOO54m2p7qY2T9Xkswrq5wkWGroJ4yICBYBrCga6ptJBN69Q/WJNb
SpqUV4VXRCYOpD+AJwExCMseRFXZ13CPEPyCJEFfBtfiaNlT19+g3kLd4u81xnsrCbRUhT1z0PYL
mljA8WH2SGPFQsC2r65I5wbBjHZD8qWBdYwsKtYDv9f0HdgMoDo40Gi0V7KPbbJMG9OjGbg31UPY
lSXylJW7s7JSupFVGgJ1w4wbB/NAR+FNXIuztBRhOYN6BPG1DIvzOGndbq5Ki14CLdOky79/qn0Y
mAN7AAEI4FIpeXzoF4OC9VbQWnkCXnDli6864AhLJ8YwNHKgZW7azog7YHWSJwMCbs7hdXmXIXVt
2PwPZ3ExAkeWQ58eTLZqvfi1rt0FTl4G2VUGa8cVisP6KiuNp7gffv37BwT/Y2ecbX+TgCJqBt3Y
oOkAH42zPHP6oTChvuK57ayLVptk6Ve8xzLOw7ld1MngEbvn2ouA20n/06DZDoqXkw6eEm9bbDtw
NDucOjf+9bABU4VBlqorVsTuOo1qdx0nWx3cIS3n1GgtexugX7ZJ0WKgCDXbVIkoT1vROxcdJcb2
SBvpGKjNLP1CTA60TMj7fpNbDbCb1pAyzxXaMSuX0KF+8ntfxWl72MpYf7Y1G7AJGM4ch06lu0DZ
tHYz1/WtS1T76VqZqgxgJY4rWFhJ32fBWRuq+GfABcQ6QxEuqHY65WHUsD8rNgwauIWAeY6Omo0y
hD00bh6ys7+H2HH3QCYOgUG0zedDsZ3LICHwcjhRw5VtwopcRsBv+oLPKhEOy67qiFhUTV17pivs
T03au7UMw5BtybhliU2+TJwcQ1hapLd54qadZEkbfAOKR5/2ZVWBn1TkX2gZ85lfZMAx6y0BrCoS
tdKPyuyqza3yurAGMg8CJCJpDX6WgvcUAsVJq+QWR8FNABxiJ5OaFVeVX3yucGqRGYXIVyLVY7AN
Tj0M0m55dJGELv/h27VzFlKOLgag9YTX2qGTejDo1KnFTQ+eVs+HGWpdoMej7j4vi+quti0Wyjat
2MIvi/rU8TH+XISojZc+s5CSQxj7P6GwDWh0lRXWH3XK0lmel/g01ll+igqRPKgmpzDvSRrfKeF3
TDaFE5wZ39ReD+9hiRwsros27eZOa4oFQh1q5gkcuhd4TRvwwmtw6M/TkphZnQMZ5VuBDb6Qrlaw
1OAW/DmIznjFku9daofn2Ij8ziWVu6xFZOFFSdNhzak289LuomHRxDxYWF1nr3GZtH+WQZ673oAr
8H6zADfBoqsiDZOjbed90NR8AZ5eOEsqkq4y+KoEc240vOi0ATK8BE7cY37LJNNuNwCrlvgeqaws
XRoazwOn7u1PLUHOTJXGToBCd4oKiJFWlMuOsO6CxsOQ+J/qtqjSVPYq6TPzEPohcCA/ytaCDEII
jBiYcn2P+zSqiIGTPes6t6+quErj7kyoYlg2oq7809Qo4EsjnOg7m1nkNOoJqb0aMPBlX9gCkhVh
CqR15vuwHlZJ3BZzGreB7ZmkQv51WNiU6VXcszac9V0iqgtaVgRGVOtrVLZeDWvhglph5F83MHVo
4BU85zDgSFymiyxRRsikgMXLn3dAwXmWD10CXNn7dubAGY4+eNWhAEJ70SYsSeelD17Bws2CFEL2
wQWLmQGtWXtpaCwIico+KG9KBb74XAO5+qdVN0zZM1vjaqkcXvMr1/ID/ywjrGJu5GVdCfTYqoSo
zYTzPAhZOvfLZigWwpSZWvQJcMoruyzT3HNxn0A41QE7uDSqUJYHsOJvVp4OQL0TGqcz+Me2riGQ
sUp45Vn2LUpTkZ4SI6pkHocVvR3qipBFZGmMzsM2BCdfshCH1dI3TZ7dwWJMzqJgwJAUyEGDuYYU
1DDnqBuEx6M+by9T3sPQtmCqmJmPUH1miOsmswDIsXrGsgbgVKwE/yQbIjJskhh2gsw4KJDOSJ+G
xSmylbMKFIuph+O4IDOllT8baj92t6xJLm4iv40cj6giGmSaR4N1bvuJs0C5H7igrmA55APCQZ+G
CrXBPBZOCAw+fE8ioUQGwycghde1yhpk1SnrDwNnSvQQOsI8wldoyNSgJG8ci3zukxbXVzQXvZ5l
oqgu3TqDJSkoWQwCIoU06sJXIcp+DCjJwrOiT5NuUbbuoM5RFVSfnQi7a7fzU19yBIN3UWcdI/MS
6FtQvkZROktIAZwVb/25Qqr4AewYeBZREDV3JSS0fuYmJKuGtYE/57FrY5lxH+7jJjrqFplp0NXQ
5cT5VFYu+owqC77RUqvkXgVJkW7e4DRSK9Nh3J5mLCjxtbKY+JrZxXZwRlFRLllShuVN1zsV9+yi
BWzCNgPFdAlG9xxWMPEVksUwulOwkmYGHYs6fVqVwsc3kanj+BbzTDinnRO19WXVVVvnM+y7Gze2
aDfXbQq/WuthAFoap9WwtGO2ffit6i3YJ9ArT9GV42bwFHXhwquCkC4ePBE3MHXyJIjVp8wwmPKm
Bq8ggGtgU3GVhdcFcnqTAcke2gB3a7r6MrXCHMhGuy66RQc9HciW58VbowGTyYMnAgPSCbT1k6ss
/erDSeZnvFGKSyD4YxgXfUDXLSR7fdmZqL8FttsuzwNwc6NznWdxdMdhtViWmY2uChEUP4C2oQWE
8aHCZ5oHoj73Qx00s94wyBwNrCfLHPI8MeR+iv4+TmL3pqtLW68Ku2/iby1Ng3KV+lb6Zz+IrQ1R
RRLOIA7gZK5wH5aLnKbim2X76SIFor2QzAEz15s2vFW6Ks9FGkfuzMUGB2D2XAeWoxCLryaymmCe
4AymyWD5RJw6mUbFJgWD3J/B0VMwN9qtxZ5HrgVvtGuGZg6LTFucI1Nj6vkiqRpYaUljg+tdRH8Y
0YjPFtCf6GwQlUEPVQmskUwRYs2pajHcqktROHhOG9DgNAdYWs+KBV0MummqS2AtkruoKSHzwcqV
k3aNuxpaCuDENiqHJST5tb7MaOdcWJXt6HlYZGlzHvRtHnrcLdPwM3gi5YMtMjAjYDrLRkKevi2l
aBtewCrQF3dJUCD1HemB8AayFJD3+5JXxBJws9I385BZcXBm+Xn7Mwxsq/ESVtL4VAkbfepKyx+W
pi5KNVdDDYNU4SoiN12cDO5VSoGbkEXe2EBpoNDpvP/L3pk12Ykk2/oX0RbM8NjAnnfuHJXTC5ap
VDJGBBATwa8/C6lVR6U+fe4ts3sf2qytXqpKyhHwcF/rW45FdyM2ph5w1UzCmiqblpiidgjRw7Tx
56nQvZdMuyUZcfd3wVzFhS0tEXk5iGh8MqF1H9p6wr2Gky59xL1OxQ1LmYsC64Ek2Ca0jkw2qxcv
USZxs67T8ZfQY6MpTFjJ4Coo+0TfjaVIJxzuuKM3Q+PjamJwsPO58WXHz/E01P6NN5M+OpQzT/Fz
zbNTXXWTM5gCqh5qBroxJa/6VZPLwDVUW1EnXV2YmZCDHQM89zaKIDoFZR1ffe9K/0HW3Pxo8n9w
Ib9Ku78qvf83kvFV83Xign/K3zXjP32if0NhGZPEvxaWf33z8a8yzA9GiOBjf4oq64vY1yVEfuq6
eJvvOkD9IargzaCQliEg4BVFMaKVf4gqYH1c4nsY1D2kLTFuYmD4KargfaMuQAK8m24lfOO/xvpg
lvttQArjdajENjvM/vhnVXZ+HT1SGi8p06G+7nWD9jefRk6O/ewGR7ZgWsjbiH6xbeVl8eycE4bp
rQ2phloaFTU0VEiC7cNcyVOXzPeazGdbuqBt6ijN8GSgxDULOkf5aKi9xNQ/wI7JoFPzbEzE9TDP
x2hQUT7T8dAsvcmoEOgBqzQr43SGzu1/+kklcyNGlpGmgxHT+N5m6gDSLEmwhcAIUqJHR52K+sVG
ZZ2JPrAbCMK0INPwEETgWgLleDk0itwfFpJbA8ezgqs+sfKpT91CepHNp9W6a8x7BOClLUda4A1x
X8c2bnIdNc8RTqkM2srBnxMcWXD70Ys9R1WwS+JhyUvjb+tkcjJf0L0X6bDQPNmLmVJIsJC3Gz2/
W16+UzlfE16PWQh9qiFpk9Og23XdfEgwZG/d2UxQWhyeJdXwUZEgLGaXPQ8c/JK/ysWlkt+i0lsu
AthEM4TlSYUNhsHQo1ldRRuHJe6dJ+KpCDBK5M166HAxpztjupMbjvolSfXkZwrE2RYjbb4EcbMJ
yphve+uTvMdksUnqmmRVuvBMeUxcWZLMRQcVaJvwZijK3rG5xN2cTaKrN06DcceSptwwIppTQ3i/
S1Ij771QL49m0XXByUpIiJ5c2YjG28V03QuftHeEMh49a0HpnZjc8aaOvOaQuNN8HtPSL7Tt+RFH
OExOJwjac2nYsHaw81lNC1CwhZLyfU4aJ0HJdcYD88htx1N3U9dm+EIsfvG7ErrdK/io6jNIeuAI
qYcuTFq16ZIkt9SDMtjCW9SAJDIxoTcU3pW0C37rZjOa6izY+II2Ps2dUV2mmpl9Wcp5GxM9Z8rn
6TYOQXYE83AJpCe3IyVQOSYJczk9YfSpsq5v0Bn6yzovp6DnAiAQ3E2aIobjueXKrwe4DfexzzCd
NlF3xYF8nzpV6ccUA9QhAm2Y1egxdk7Cllw40+fslc4e/XUxJ7b5IUT8vy75/37F3P9foc3/3kbw
z6V8/cg/SjnSVCnozCD2AGyjoP9Syl1EcNBSYqkJ3jdH0l+sQixsR7wKhRcvIsQbv3E0/Kzk0UqB
pvhfEYp9CKvwr8jjfvzPUih2MUBpX8U60KHrItpfK7lQNgwxKzmXOKQtcLWDbkrQZn3EMuZKvu1i
u3dE4OdtTW9JEgMiagAZmhHdrpW86FsJzw2gztCqNgeCCUDC2LIYx8RAVRDvUE4eMd68DmS8AkVy
gEqcnAfaT5uAQ08a/C9VOu2oS1u46f3d7LVjHo7+18hFFY0jtFc+uU2JYzOTlGE2tdMTmePPGQTT
tjXDPfXaL7FL3c2CUSJTTrzgkR2fAzWoonGHgnZgp1rIKMXInS0Djggpb9qZDkN8UPo6E4oe6yU2
TRGWvMoWE7ZOUc7B69Brx962aEf1FmeboYDihOQPamzJAGvODaoiHbyMc5NuB3danTRLNzAq43y0
/kaHzIBVbW9Ua2WWsj6nHEicIu2HjONvJazirGySMPPlpddfPMHjrLQG2lcKmMex/D6eXZCU1Htt
ewFPDuzRBnK7zgXXp6gU4jgS9j56dTsVrK852YRWu1UW0cC7Hbuqy1gdh4Wx3QOp9aaLlc3E3JFi
JsEzC/gjbWKQrsvMz6AjbI5hcsPi9NqvBgC5/CJcsaNTve3T+DiH5TMkZ6AXnW8PHGiOYgE5uKrD
KYKfG9MGwJ0StScj/eLn+H6ecAg3R93E1WbArw9Dc+mspx69LhPy0Ce93tIBbWgaxaeANrLLpBmb
x04ActtMfRSBBTTJ1eLZWyKWLiORGEHP8mQzDeS+0va2HDEwLpN/PVYpRDNvP4roNmzjQ9kvu06r
PQA5UWhZPciEXs8pHMbZW11fnQdoR4QZsroNIRzS9imMOeAZSNImeaTOAhp3EvtZVQ8DW86Tae4n
qp4b6e7dGbBb29dDHo3hhF7F383ahFsYXt52ju0Z5Bc54ZK3mVLtt3YGtDjhe3NsFW58H7Rs5GEe
XeKdv4Sv3gQZiJEyk6q/WqryjkJ0PNhQVmffCe4bZd6ZA/RGPEzKdfN0TG+rui0GjEtsWI5T5D6S
tDVFy9udaKZ9Y0EHcd+/akT3SlXVwI2PtoO0MWjboaiHqgEzEy24Q81bWrp8Q6gplmi5GKKva5I8
QV04ceHgyJkLvBT33R9IVJCyvV+q+tq4wdM4mZVOfexH4m6IZ7cjJum86ZxLSdJdS9lFNTLJ6pS9
6zKgG9+U5xSDX+br/tT3+Gs46YxUMjMTPSSVOmvJTviby2aeff8IrVKCxDS9t3WRlQNyA8HyrgY2
4WVOVL20jbdhIWDVKSSfiyP2XaNfRGq2JtUbm+Bb8JNXmbArqmA2cysL31W5lP5+qoZnG0Mz9qiF
bBhE58RTd4k79gXaKNCqk//cqOlg4Mr0ji4zngS3flsd4Gjcegytl130VagN/LqQ7Uo2JYd0GvZ1
F8PQ7p5arztXRHyJ2UAyaHN3sg4Kb+ivagZPi6injgb3U4NrQQf9NaB41Mh01Wjveu6pOlTWVVnb
6H3vjacx9e5wkxy5AqZYT/Iao90WsJzGXaWf0YYUSx30Wy0IpjZzclL35PhkAFblHAILun4KtnIa
D3Qxe4PmMl2685zKneyXW6k7mcV0vPL96TQPuGUTCjpc9F+ghb52oNuDMTzIKfgmguFY8+jg+vWj
Fs19mIgHLEDuszAqgfTXh1gn7x2Blk4V+nY4CKU3na1kGAQ8PGGuuap5d2oW9jr3/n3aV34GpRgQ
xIi2B3xvoJsthOvrkPJTEyef/1/G0X+33mRdKv+/DZp/78Fjfbz93pj8+LA/GhPsWVr3lQNH+tlj
/DJj+jE8eOL7yJl8D438ZJiQPsO5hD4CQ2gAz/+XzgR7IfCKbFCPeAnnikX9NYZpfY/jn0w4zJgY
VzH7xtC2EWr5bcZMZrAhKqnVddvI4Zj0aXA1sfmUsB4NgpoekfkogEJ2e8bjfvlWczE6t8qCrh4X
wJnu3N+m9QACvLO3sgqOXFC+XYH6zF0sDOjOdXZNrwOQrPW26nR9gMtB8moAZQ4dqqrzVI9sS+Oh
V/e2Gl7SGsy9E8UQpiE1t/ngieCoZ2c5hiCOMAXbtblWfVfYtd0G0/5ZpWjAm7UVt8B+strt0kO/
NurD2rJ7a/Oe/Gjj74fvfX2ytvjD2uzrCaxRvA4AfB0F+nUoQMYHuhSqZ/d9YKjcPFxHiBCzRLIO
FXodL3SP3IezjhxiHT4mIy7uOo5IzCUT5hOLOaUmtvAwt5CgOpl1kJHrSNNAc8taTDlGCbVh6+BT
lY7c4ItVn6Xh0atdWl1ux3CsM5hv8EVq4e7TSd3VnX+fgKFSB+DfjrxtXDbucZLlbKyj/Rhawe4j
SdIpq1UZ68yPy2DnuwYIbliGn0B8zKGxXO0U67pioezGtuISofqgkbiMxDsl0tlyYY4OjQq+QNNa
h/t2ycNm+DDMu2tk+vKf4oEJJCRrXvBfq1Tb6Ztg/Pfa8eOjftYON/kb1jSGSYIFArFPAjy7f9QO
rFwF5ADCEXscf/BA/1078N/AH1wf8tWfoZ8QZQWIEPLp/5h5/spUg9jb77VjFbowdSEKE6Zh6P9m
4He0h7Ehy/hSzuJYyVGzK2k8G+Ut1cMA/6dRyy4xQsDNoxUGlHR9InjKhvok2/pl9sU9DCxb1IIh
ViLVDpN90S0VigdhHnqjHqGwtH3HbxvZKBYiNeWgO2XQljG+yTzqnRe4JXeMYk5S3O1uZTzU913X
gLSbMxaXCh2GyCrSOJeuZInJRj1ukKCrXpAwqW/Ksm6im7q38U3IElFDhy+RF4tUj6ELmD5hDxFc
1G05pbXZiNktJSx5UTePKgCduIF9+tR5ae0jd8X3Td22du+h2YDddjQqvAsrIOVlzB7J0j+oAPAi
r4evHvD+LKoVRCfU0AnYO0TK93q1HSYnuETKe4rm+VHVTQgP2jk7yOw4NEAmo0FdDUCYF4k1biYY
yGc3qJ+80k9yGnWvXhXeo6e7BtwXFtZpPvAm7wc0aN9I0DYbQfFLCRN5G/vdkAEAGJEqMg6SQ0P3
an34JGhK9mRJDQZLSGG0Tx7G3vW2nAHbZ7C0kVLz9rWEF4mQS0FNc/Br5IBCWscZDKclE6RjGwyX
cEeJPfqDd1t6iuaLX0NsCbw976ybe0mHKJedvQMGKXiUinwQnhaJEghJlWGJGQojEUvfqpqfsPXu
JPx0BXhATPpLeh+XAEcBMm3n0vkI02Xbk/kwlMMFfCtMjnIqhgkAI2WrdFQOn5I7UxY1yLuA6fxq
6nSGgsWecUvLzEt1vI8CiYwGC28Dd1wzc/wiMZ1mwVLewP++DSuO1EftIvzlIDfZo7Ml8xTmbahF
jvutqEP+rFoPmbBKHiWuoBRqi+rd7OYQvHpERr5ZWHCg2l7PY/jkCnlJZfPQSrA3DRGPtKrvVjus
GIjauVXkHNpI+jClpjsblw/EkNtlVHhEXMh8OFkwNjWNLdypvFHlsreg2CF/Ol+n0akLEgzdzoYl
Epdu2uOUwQlehQJyKAkKuH/LkQ/xdQsDd8sTpOsGxfyc6l5mY2DOYed+4BQ8NgoRP+yovYraASop
iU84N9wdSeHo2GrMXTwAReC2b0hSmK1N5XU6Bc/aqUmOR11nraVRXiv/k1q0rN3A79Qy5FLF+2U9
1+J4BSUYX3LZYSg3C9s7Ae7OshoMdOLmW2+9Zafi+Dk04b3n4gpr3jV5P3mHBOW38JPkXGvHy6Jg
hAlLg2Brxva6qaIicro72iPyWOPeNjVyfKbtNg1Nb7yKjduol2JnBuMX44SU2MiiB+OuucCJfJZe
8Er8/ivq+2E0PkEKCDG20vG+IfXyKFoIM5TSR2qkt/FSNCwWIbQmoi/cBqcQgdlQZ7Dz0bHEwRxh
qEmGGPoMsWCVxnffoM3wwhFPOcJ3KhyvImeWkFQQtNTL++R7L2OS+vuUsDkb0vhmUZoViayTIpii
CD+qzxBftV9LW4oDiSXIZtnnoM96ZG64BeSIEZHW/iviI/eSwp028KS24KtMAd+5LdphYDlryEWr
gW+60P+mF5sWCD1dta2nC13yeN91DPqTEyC3C24ko8T4mOLMV0fjSXahUu1JacJLM4cNtJhxLhLH
qwvfG+8Mi8TRJrHcuHBGu4bNuE7NVla+LZqwtYVt6+EK8b2DpeUrZfNcUAezK7S7KgNQ1efD1H6N
YhZnQ9kum5CV2yrw7T5imLH4EGw7BGqKOo76bZIsNEM9XHYIhr1OSQhr39lVptzhrUT1be2APQl5
k2ZWGETMJE23s8MQ5wxteRsxb9jGo3sA2HCGk1BtJW2TnRh1VRgws3mprT3WSn10I0ECEH7o0UMC
JA+HBRL1XLF9zdjyZTEU18ZYZxuuSVuH4bpW4AeyUOoDDHFw6G6yQLyHJ9unxzJdTk6zUBABw7Qt
u+UWRmYBSOU+gX5wXsQIW1whB6S0vRlU/cC8xeJAdPvt4E9NpmpnAksov0YjhBWKiWM3JxK2qgsj
JvHQkbp9fSMb74aVoPk73ujdMCwnX5bnsveLblxuNMyBjd+OBIkXEwEtmS5p2H5NGH3vRQnxPE7L
LAKxW/ROeOR+YjeQy3VeLYgoEGIeIUa98c656afmvqscnq9rZjft5EbZFAzf+iX+rCjBWOwHopia
AJ+y8ZDN7MnLAJAH8Z3mUqaKb7F0QRdmnBBbK7sTSyjZt3NbPY51XzSmfIlgJWceHl1wQp8TlS+h
72RhLS+Dxq0cSPq1DL10A0SlA1jSPyqeNIjlNgh0Os7tQgZSOH1z5cKMgXrYnXoYSXmAMzV0NAqY
636bE7GPVXlOSkt3pLFHpDTSYuwQfwrZE7XTZWaIX0UWWNYEggYX9DgK9xT29MMZkk8zO4g/GX4A
9oacXfstcfRWKC53AkiNGPCnhjuPpCXg7U60RcBLxYdBdAhwtO/w4fNBw6drp/igmnK9a5IKgcDp
uAiz7QH0ZA0FpNwO4jQvuJ8bjP1bzwu++UiRZ14Y3zdthb+MAq4pYl1Tj30AhCMUgcduh87tFR3Y
oZkxkaHTgQIaHZeQ01wNzXU0IkmdmifXxycfZg5vrz11Jqp3PpVfgyp9qhADRUBlvBBE2NcmxvVx
4KWs2oU1pGibIG/SNV8mYxBYEcgjOsN4MzTpGYNZWvgIxCkHaeQYwRi4WXSn+LwU2ms3EVReqGdD
ksFhqrZNiUeHLT6KxWTvqR7xoyVMb2r0nYjuNvDO/LV7mA6xXx+NbT9rN2y2lUmurdvu+LITaQcR
bTdZVrjzOXG6h7rX3WpO0Zwk4a5tNTLEEA4x5L37idlGpnpPouYceGpCy0FqXKzxjXOIKbNnwIYM
RE8nPD4PlZ3BX8nk0R1i5DXg/4lpk+z9qt97vD9o2RVl4g+3LJrWsDJrIrNpgtB1nmrNOclnGHXT
sfshbDffVW7+XfEGTP7KEIFzimAVxKvv2jgCsEcOiRALHSCcEyjoS1pBgoOm7sTtULBVZm8CXgS0
U0Wp+XOZuAiCJHoEI165gFdagLzsHqobJlM/+ATa/oQIdJhRNF5O2cgt3uNwqOPgDdP0zdwAzavj
ocvrRlLA+nhCui6AC2q0u4rjM44TjKsdwcEmcKTh+q3XDr25Si2syPo8Ti7SzkNQzDK+aIk8uYrP
q6OdMdG+uaktRBqcIQagu+HDO84Wi8Dvum8i+SKaJjhKBLMXUIC7pSVRZnWyD7S6GRGHRJMH0haj
RIa+xhRRyT4mQ/c+Zt88JHzZQog+ByNQ2E5jHQmii9C3zB5195wafxfbEIddKMReaTzRrYcvGE51
3gW9gGam0d4siPQNLWgjdLup2712Y4PlFtfdAKc5hBcywxWfhJ+lib44sByhBstrGrYfyPl1WeXa
3NjmwityCVO77Zm+BN51JClg3bGYJqc6asKfgFceZN28yFh+GVIOXXshG0AucxTfz5XI0fde7Oi9
NgPGfOGgMtLqsNh4ObSqf8U3+KVunKiI0QtuajnAy6XOa0C5fqILAvZ8bE8zALACcWBA0XS5Mtp6
+Ri5z4Mmb3Pb3RrD3rohmXItJO6E9KUPOVCX+omCsf7Bdf/HqSQA8P/1QP93pIXZt/9hoMdH/THQ
4z0byKXinTlYCLOKfn8a6EmMaE8YBt+zOn8CTlJQkT7W20AKQMQGY/hPmxICgRclMfaE4I3EkAr/
Wornn1h3LLzxkNfwAYDj+3R/DzRWU2xayPr9teOOL1UjAeOp/t214aF3KctaGBpiUhuYmBnR4AX8
6pza8WISCoDRABShzUgzVWHRS6y8bRWSLQ6qewPtfZPEXOW6smciyyJyOKqqKx+bBGG83l0XcYw9
ms5p33fijUZzlSk3+Cg9JOEGh1aIBc+nOdEfnXLHPMFwWUBW3URWh5lr2bIhysG8QsPVTVEyj1Wq
8sCSKJec2S3j9saDB1t4VX9Sc+hjhpHPPij+AkDeByfRERwOzMuZoYHTokNmDvHiGqEHWHU3S+o+
6RJuVZug16hrx2R9jCm4jdomXyq4kzjHyiwuD34ltzbGxpMRSBw82vlxqasrGbMTBtRTjZ8p47aZ
Mup5d6bpCl1VdNMx76p0vYfS9hLCooI4kMIylUIjJdBh20eAnpv6tsnLZHhKwsnJI2IrVSHjNzbV
vfTa4RUc6qNdAnOSK73jY8bpsZsna8fpda4AG7JuRwc0fIEKOXa7QGRVfullCP9d1ZX36I8oc6ox
1w6SSpuuU0vhhUu1WVJwntWUOjuHqzvfqT+wVYPD2EWTAZL1xKM3Ob8B990GQ/QmrM93aiK7XokK
BqKh/DF1a3bfk37ovjXV8mHm+m7xCfROjCDY8vN9KQESkZcS9/cBi0DIfpYev/amMr0OaImBIi3z
IIVUauJoL6d1JcP37QdBai9+u8DbbNbtCEgLPBlminjdneBjiQIIQmRdvy9WmL4vWfiPcPlduFzf
Tv+v69z3V5n/c5n7/kr7t38sysLm2mB9UTqAh1WCxOf7Q7f0/0Y8BKahG6aI/qxp75+65VrLYEAg
sYdXf4IyhhPxs8zFf/u+6DrF2A2UAwu2/opuCT75d90SmUigIGtOcQ31/J5WTGKkziOHLNc+rR9H
v5fIvVoIXMM4Fu5Ct8kY7Vx09aF1cj2nj5TDxyRq5gVNo4c2Ca58Lg+0bTejTkoE6mKIVZtmhZuw
E8TdcPBOlcOmgzRNhem6b513BDIomli00PUpLjXFyobVj476uN0LCXGOqhYrnNjgo7WK7k2HWptA
L0pD9PQz84uhhjk/zvzBWueRh+yLz0OVEW/poVyYQ+TY67pJjm7sFxAgvk6QMcMOaEQFg3RovRvs
Gnn0tGAFskxuVsruSg9Tl6uSfdppaZFsdrdlEFcFvHJ/E3rzNXjlt7Fv5yLUvioQ//1AQGcpJCkx
BczJpiISAwyvXeArUVwO6Lftwcwc221MdXIVtnOgSigX62DAahAX2ShNkf5zPX1COOKpJumLE8Ro
qXsffJjYyJA+dg0CS1O7fJFYkaSVO1zc0mzowD894sKuae5S7JqAB0PPQ0VhiFqgDOrkcP1JphCn
gmNjbATyFZABrTMHeTJAjR2YBWfI/Rp5FIvutfSIwixfJ9eeHWy+2LHLtUS5rLnJ5Rpl5y0kZ0qs
gwwByHo2Dy6Kbvy1ttWR+a7dybIl4DzcnCXeIY38vVLTddlPDJG/xl7V4zQOGYsiRXcy7HFsYGg8
+HLKhQjB/APo8LmHJSxMbwPgch1k1K6foTqquWjZ/FZFHIIlxhPer+7UbCBlYdFX7TtvZKrafNJQ
CN3Oz12RfrNdl1whX6k3CYH26Kk6OvfGx6ofNt3XogwunoT163oV+sU4bYtlArahZ5znEVYd9Tou
EkrdHXMwIPS4/wEXJLvYCQ7OKB5JGGKNnPdotHTzqhakkMJzL1B32/PAcJJXiAdv6pAuWakhnLJ5
TZtg8w78OJdchtn3bhsPylLT6V0aDHtrqiPFbqJsHr23xI/ComO2ucZqXejCYbC1Cd0qKUzhIgyV
h4a9W8G3nm6eeYXUSSqRqqpxPdve9tdBgDF5/j+FV+Gw/uKL/tizh5wNcpXY95cmboQ//yVFOvgz
9hPA7r/uKZLKH2gdDD38UjeBA6zL/X5d5vc/fAm8tTzCi5dQIyGSrPbKL1/CDtUs2iYKrjvxrrob
Ozyw9PyfM+qHuYbT4V+fUX+nbx98+udDiuCjfvbi2OaIhhtvkcYeIwA26wX+45BycUjFAYyt3335
5G+ACAmW//7gu9eNJD/PKLzWGMYadn3/AxmP/8oZhZPvT/cfEvUr+U2QZI6x/iQJ17c0/Xpz8AFr
7KBUimvS+w8ojveeCE80ELfdjB1nRgf1sSKZoW6wb61tAeB15bbU2O0nZ1ViadUwYjWUUQVyWnck
wEKceliV8EBGmVjcW0lGpLFTfC4GHgsrwwb3kFaTBz68v59ihn1VjCcgSOYrZyQ8w3IhLN1ZtJM7
gNSKWMYtyobnYEWUgULE6APOgPAq1gs7t54HOioCw1uVaAO9Pt4FAp56olFdo7oG/jexh5qtu8Mc
OmRkEodxCLdlIquN6BDmigP6DZHfR8Qlnaz3wj33nXssm8DBNYqrZU1GLSE2TqUA2sdQgRHnZoMD
t3XPbuV/6Ppt8lHHqz3nJRRdrRB/XtS6LKvrcR7PkIuwE2kz2PbNLChgs5w+lDRHV8J+SAl+oEmX
BzElN3aV6rGYzlnOSrrHOUhewzY6cNIGWWpDUqRxeJ6q6aahM3Ym6gSLD2b3uoumHraj2rgJwSXx
Y5HJqhKHeApwapT0zqtMcJs69VcIRLeCJchA9X6fNy6OU2/kXiZi7W79COPWUHIJpxGHUtkZN5tI
cvaa+mBVE2TQM4o2YXdzh91bZFHuZvSR2k4ECI0oRZwWZ9a4qUap7ytJ/BxQ2BM02xY66bCDtH0U
XfwQpMub61RsRy3oQLTmra5TOBU1lrkgRpkNKNkQpbw8kiN2juJnWaZxl/pAWbvSZeRmCCS7T8oR
X3jCDsKOXy/B9LXh6KE87dzgBn9LecNxrlfsWHfuM1ZUXU2IgRZOEmCvgfG/zUZ907G1WyEhuI0i
KbGXLXyneEQh3npQbYBxbBuj7kOvEieakKNu25dhSU/L6AJQAFTI4ZWO1g5wIRMC16F0M96Bs4Xu
e5HtgsdHP9RV+T7WcbJnPrKwrUPvYfhiCaWnnkY/PnSjrPZJyI/AJHqMahG6QcEOURV+mWpSH8HQ
RVnXLvf4nOaMlTga0TjON7KKJhgriEHqCXlWN10v3uxDEYzKqHDL4EnwFvLLgsyDEIwdhafmfHaw
gaa2zZj1Al3oMgv+XJFyXatWTzctmujM+GMxM+tuE0UfIfG3WSVrJM9a2L8efElExtim7FuFFFzX
4GmX3kE0WCHE26guJk8dyJKQw5gAInPLfhfhe8nGyLcZyqLEwlZxg+UyC0Qktg/kuG8hNLV8kdDL
JOCbHksulzCQOVKSc2aDOi7SShQycJFzxb84QXjTIhPChf7izu0pnBQ8A3tJg+lexxpdmKC72ikB
ydJyyVjnXvSsvjRoYLEisb6hgbrtKvOYdPOVoMszWhXMhNjSkVHePiLJfgxmsrdCgC1dt5kpRjLC
IX6n/XzuxLiJycS31CYi86b5qpzQSTLbb2bjbmJvOHpKMThA6jMI/4u9M1lu3Ni26BfBAST6KUCw
kShRVFNqJgiVSkLf9/j6t1K+9q0qNzf8xg6PHCoJBAlmnjxn77XDlyTSTuACrqEb3OAfoY8wdl/D
0GRCka1PecwJmGGiE2DlfOkKG4vXQte8F/V9FRuXs8LIbMx5asBZLNkXfUjNfWJYpb5zEX4HcYUR
20yqzb9b+K9bOPXOX2/h3tD3f9ZN45d+38HZppHBQUFRdSGE9f0OLvgRG6fLfzroEfbp35g46i9s
3mj73f86u37bwl1I3596OLQsNmdT4x9t4dJz8F0JKbdw6dxiWkgiBCB5+fq+38LHeu7wtcf6qZsN
lS/3eJgWgxNmCgeytRqGEYLWfr882gLpWRcZb60O1Zhna2NK62o6o97qW7QyU6V6EKuulFRtPQd4
5mbuxuu5tboNvOLKr6rh6+KWz3ESBfipbzMj3ZVLfyF0cdvU7PFps+DDqkWHrk0ckcuYXqTYD13m
Vn7uFj2m0vABT9kjbEZ8SdU6+9ZcnMxIP2mTFbgQyuy8OWTAlA8rCgt/yITjj/G8g64TCKf+QN53
O0yReVGC1aM7/tVJ6PN365cZQaCXCQ6/Ou50ZthFudHr0Fdn+oGoJ75M2vCSzaPhx1m8F0NVMkwC
4MUYG2It662f1Pp1VjQXeWYwiG7bj2aMORMrFStm7pwScMwwaZsTeoz6Yi7QcjBMi/DxcIDK4jby
XTUKrzurUjdsObT8G2P9cMSYXY+G/bYmvLl1WMRngc/Ui7v2PUZCd5Uy3TFdhUVA1MsuLjvn1HHM
CGx74lMbYuhfUR/5WcHJjG0t9liSrR12MpwBLTZdY7ajsxrpGrDTNPKaKMkpogBeQpWomOvpUaAu
ebrX9TnHq5XANIslL2aFfmLNuJNZ5jA5hxojrYWGmtElHBTrcGtMQGwZh4pdX+lFUOrpERng5dqn
p6zUDv0SrZukcD7CNbW81C6MQOkSmgIDvGcttJcdHqY8UNPY4Y3QFnSHjbvrUyxR6dwOO1cgei+i
FgAM7vpbmm7ObqjNOGBcm+5VNQw345hDMtV15YwAzPCKlTttZgQKiaVaWydSej9dJsdbqqgOFDz7
mHCz5IJJzLSLRHy/iO5mGNQyiBVn8aq+/lrlmAuT2IIT0bjGRe2yFDNdgXO0yreI+fHL1JnpQwmg
wOvQvO+XAaiTmJkcMrPVTiYuPS+u15CjIFoCvVWGvTPRGowngyLYHpJvGT4MtIzMUMaoUPZqj7nC
zCW8jl0Wq7JXuDCSQVoUHkUJ1rZ0cjYtHhrfGlPrvGrzOZ2HW2sqsqATKcaZXOTXIE76PS74j75c
v/baGG/7Gn157uZIznE0+zpDs7xtLIjcKPQtxR530K6NW6EMX+Dv9eCY+2EOd7GYobknQ/028ars
VYEbF6dANJ242SnJcq8pk7ad8RL66uhelIWwgmlaNNDgA2rXbvFqoDgQPaIgKUvlQjHUfaLrD6Nk
x6GzvS+AydlpeTPZna8o9lVnvoQg54bKGp8oi98nYHSzpNKVkk/nSFLd8Mmsk/S6RHLsokw9Cq4W
o98bR2aL0B98bc2vEChp3ujaX1ZJxUvS1aF5XXzrbIg+AD8OFQg9WnFHLJHQZqRdspScvSyR3PMx
xkvJpNHDw2ID5CoOpST02Z1ubhdJ7dOa4jQo0V0Ozk8F6weAkFVQrceNDfIvAf03Z7hYOkkDHLsq
Qu+iYdnTIR5BDBzTjvOEpAjm4AQ7Z3ocLMp2ehs37iwxoJI7iKmXfylZhIOkEtbgCYdU3WMUL304
7NtUEgzpO0B5lFRDZXY3MGPfO8k7NMdkA6vFekZeW0C4BotYiv6tApNYDuYT/nDzkABQTNv1K7Yi
2C3VvOem821MF8ortHWTW/Z1DIYxljxGAZgxc3GajpW2VxqLbgmGHMlwVJLpTHjAMRcdlXySf+0d
d2+X+rUG/lExGtQvMWpDActW4//N19hJEr9Lho8usYEJTn0wVsuhL4w4GOzcV4zsDGdDYS9AJ6kv
l3GfnwtX2WhJfJ8DDoutEn0EYO2hSO7zpPeBHLTQyzusFQtkYThC9GdoOc1w3ITPKfc9HMrFYx9T
ll3niM7hXJTlfmSVt2rStsG/tdFnbSQF/39dG12xpry378sfGxzy934vj1Q6Ejr1DzYGeu4Gvsfv
Ghw4ywmew91l/uqW/K0LjyWS6gh0HgudzV/7rTYyf6Gb79L9wGFpgTo1/0ltZJt/aMHjNID7BZGD
9pfGtODH2qioc6NaqJ6uC30dt7UaguRW7WfbiYLKHh5Fbz2gjgoXvGSNFojGOQ999IDhDHYzWmm/
NrJNUy5X1jGNlDd9yh4KgB0bqNfpDr7JV6uHsEWb8VAXbFpRKWWO1dZEMenHrOY+zeQXpRzrr1pf
Ii0O8ylIjSTcrnG6nxI4qWHUXpRyOJ7KKTnT8pKp+ar0SB0Yo09J87owV0f5+4o57GmWA3ern6+g
XUsuGcP4mqn8MDA4QJMwPmLVfsFgkVyWtRZiuDMxezHXz5jvq3LQbzDxD+Xo33LW/YoWAPP1NfuR
v6ARwLmZoRhopHTATKcHhMHPuKs5k1ePnRQZcNLZuB36JAQIWop7OV+uZ4QJ0L9woKFUgLjzrUK6
AO6i4fQ3XbucuekBiINRbVNEr5gufCHuouaqBZrdZ8/4HRuPl7jrpEiCjW2TS9lET8PBz6SUIjRQ
VUlxxWhBCMJwuEtD5WhJAUYlpRhhMgRTld6C7ThaUqxhSNkGVNN9U+XfWino6EWHNZBpYSvFHoRk
3OArg06LDESVgpC41N97KRHJ0YqEaEY6M1o9126/qlJOAuTpGIMrq9CZzFboeg7KkwkFSl671wWK
FCs15bg1PU5RjNrU3tiQ8bxeylhyKWgppbQlWhG5WFLuQn3JQVxKYBIphkmkLGaRApm+WG/c3n41
a+UQyQ750GHCZNLgCVyTTCWRAVMOWPhpF7TPvtGkt6W02sZ8cgreWxMPbiPNuJxnnGOjaIfcqa5q
/LoMgr7EXfe1lkZeTVp6V2nuraTNd5GG3wzn7ygtwCNe4EGagldpD07wCYfSMJyN876QFuI2Qhy6
LrBPoLvqbBf43Z0PPg8YPPXJwGCaYQQztRyBLhT/enSEt2AWSzGN5Vpy2WMiq6SbbMVWBjP+qGIz
E9JvlmM8czCgpV10cONox2At9ywsahNWtXpQOM1bB7WsLgasbJVlHTI1OilY3EqsblaGpjFfp6OB
CU4fqqtBuuLqbD7nMN/nEA3WYKHon/YoYw4adjq4s/smor1Jteu1i35ZY7ybMODBqoNLvELJYnY/
SY9eZ6xbuIGnWrr3Fmx8LXY+rCqXeBX3RsaZZ5GOvxTrn4EqP0L3XGIJ7KQ30InEXVd1j0iCL8M5
vaKi38TRcluquYr7Nn7McpCDU/IYYTtEAr4vrMTBMlruLOlMTOz+SpdeRUiUZwPzomGJcyHdjJHa
IHxuD6OrPqnS7wgJKt+4WCABK0NIYAKzSndkuRZPA3ZJe6DgwD4p5hV1OYZKPbdeVgyWkzIFAOa3
OcbLknlNJ42YHXIwDgvB2oVPyadZk1IR46ZI8HDmn3ZORzo7F+nxRFu7Bq2VXyIiOxpudpilH1TB
2gSp8GRgFA2lYzStoqtJekhhfX0dpatUafNrBZtpU7nX9LNS35nmbSGdqAmW1EQbjlBIHnXMqJq0
rMqPUMfEWmNmrej4Mse51CLlccbsSkbRtZrN8O3tKmixwwrpi02kQxag4qaRntlWQ70rXbSNU7zU
2GoXzqRej9E2w3CblTB3Oiy4tqUivxwRYKQbUk3O4OUwExj3dgRNP1m/prl9t0pPbyndvRz6buuC
Q7Ocs4Y4EgyMwFpt7WyMwYaOQzjtLSMAgSX22Ux+iojeM+kntqWzeMFiDKUJc6xGZ1rFfmxLHzIP
Re0L6U22InXfYVbuMC03mJcXTMwhZmbiH9AyY28up2THPaMgzB/7Jh7Bfd1wDtqk+KJFKtMkinln
GtVpwjmdSAu1Y417BU91vzoHQgvOa65hpnV5a7STIk3YMW5setl3YD6dQOXUt3GgQnujNp1r3brq
Pt3cmNhxdg/S5G1++r1DnN+iDBlnSjN43Fhe0ay2lzgj3871CDKFXnHLLdE6hXu27OyodG+cwnS8
oh/LYFVoUAqUJihjoGugAv86coKk85Vu2WEQEBJYv6lFTj8TSconk1FJNjO4RJKX3PEiBWaOhG/5
KGn0m3yLvWzB8KOjGcaXwSTZzPPHsYrERl2sdgMLF+BK3NmKV4C48dsiOk505k9lo/VPqWbj6yAk
QNkOzmSeu6lcL6D21/QGcgMF8FgYWlBPa76BZXWc9PZirJMbPCdbY05pCq5fiia8jZr2cmjAGgL4
8EXuIC/Rmid07alvR1PQYubzxmzeDQbBV3rffx3Twdcy5xmawdU4LWwyCck/47YHl5Do3X2tokly
7PiVlfWLqrf7cIpPqjm/h6l+Way8TW6cBDxIFawQ/alezUuUKleU8bpvAcxMyesCPXgxDmzR7TI4
G6sNT6mKDjurbvsuI0iiWA91ZB3NOdlr7cp5rD4U7uSZlZoBB2bYbqX62Z2Kux6tAqX+sinK8r7M
CakolOxSTaaDStwOSjKfUgibfnOgl7lTsvgQ2c1lVPePeAwu81K7gD3vubqzzZz6TUrx0yw6zyGV
wmLWwRrGAd4QCBL9exG7R6Us/Y6Hbp6Hy8HN3yxdjTgRlIxJkttWKn5F4rtGunh6Ye3jWb3rJCao
L/HTgFpAmovQiHl/iPzelXP1we22farti0E8jY5BfBHMZfwVvm7DuAl5HhMMqqzu2VMOnS7STIzm
cBvcbKCZG+UHpU6/uG640531hslF7GW9do9naqun9WOlWepGL4jmUMbkW9hWNPHTaQj6WL+eTPU6
jPQXIomsIElrieDZpW5ycIECbaMovByz9b1ezGvO+bLPnAPIFDwsUTWZ/uTYE7VUrQXhYjmnSqsu
SmMIqtwBydSr59xQjnnP2F2J9G0HM8YL0VJ7bacW+3ixns0pXe5cVhro+fNxJjtjo0zV42yu51qx
noVIQ3KumieVwYOnWsM268bcLzvu2gkRj8qlp3Eijo5uvI/aXBoWsiu6W1uU+utJEe1lTZYQrLxu
xv5SfIza3FEiNiUOE3B6GaaisbmLkhl87VocJlsQ6dIPx7WVu7ZpPM0aX7RUdaJNO7vA3RYDxHJy
nUHrM1KDIUO8dsc6bOVMXn9EbgfGtw3Pbpc/w5o39vLrbiGCgdTBbp61o/7sxP1dWRtnbZqTo6vj
eNHqQ1Sr99h1vLUyceFMwy5Sq41aZMcmUvEFGa0XmcUHmWrwRcBORbpzn/WMbXpE7KNFnTnNdGn6
p0Vrbt0ZF2tZ29epFl0Xdoq03lguUSl8aXL32Zj1Wwaw1aWpp2UwoLvYit54Xgv34HYE5SEEKXfl
yB9WGm1bAUvYQH4e92kO6qgra3bHyChU/Q5Et+AYgeyXPJJ8MQTjMd1SAqEl9OL87058/1s8IE3m
IMEEbWq8lzpTvB8PUCJR1VmIMjmlyKPL8qrD/OEad39/Edmh/lW38Bk2+J+LWJqBDEJHAClPcd8p
FLJwbnWl65KTuhyU8kpVYjQ+9/10//eX4ST6x8vYFr52IjXAn//UKA9V1eUUoFK4i4+pelD0/wVx
/uPfZ9KPxAKlBW/Xz+9V5y5ECFpFfionHrS9E77+49dvoyLgHeKNMhlH/Pg2RTZuG92kS+Vw7jBv
zP+oOP6SlM204m/fn58+a8PKtFhhKUUOuVNQ6Wvb1t4YiTe/k+f497fyJ5eSQwtEeAa2Xsy9P95K
7kTqykQ8O9HrRXvU0xovSCTz2YaV2vv7a8mX/dPT9cPHQrfh+6dL1RLwyVaeo1b1XRBvnLv6DWvq
Mm7//kJ/dlPff/4/3VRpp241OL9eiNwuevVzvGUfkVtx/T+eNfmif74pcIKqjlHPYSyFwPH7m9LN
UlRsvOWpwzWcv45zYIZvf387f/J1sb+7xM+P29qZ1EqmWp5K5zUNnw3l//E4S1kkRHYkmszCfrwF
zLtmb5AwckpZAXWbOe3/Y/FCjKZaOt0f1OYwLH54kwjPo763NGQC9utkXw+IrtX+f6xdf/ah8xDb
COp1qamX07nv1i43LuoSmHlxain8Ft9pPM08032t6g3SyL//RP7kWuQAMYMkbcPW6D/9eC001DTZ
sIydcDkzfE4qP2au0ngVNdbt56X+dVdIM8RftzzJSHkd39vX7o89T/mL3/U8VewTLnAUneamwYf+
e88TYgKQAjqiVHef2U+/jYQhepqg4VzQCDRMfzRYoDyW01uVbindSmgL/6TtScAKD8J/VwdGwo4u
585cCc0f4r+fHsoycpidjU51UtU82teMSuMIfX9LJtlgj7iJBtEd50FUO11d0RWQYVamBlNB3Jmt
jDfrADGhmzADF6+cH00WxZgRNz7dixU1yyQoMwlLs7FPUTnOxQ3MrsdYRqqNEDv9mZQ1YNhHYn32
TuUyZSSHrVnqxxD7qr82cMBkVJtdZeMeBsJFVKSYvwzzYpXIgsiwrwjdeohk6ltP/Js72dmmbBPU
ZO2rMI0S5nD0ZSxM0HVkU6CapRGYjeuVRb7cLIPmqDOeXJLnrHm8dEmim+z8XjGLq96ZahKO4oey
DZmvaHD2w+nSXo3bklMmvYRnQcodCUxbhGs2LpT6WNvVk6CDrMf4bWNz3o3QonCuGq99jhyklDF6
ClbkhOaiB6cmx144YzALmyVwnHIIxnFciFpghZhmpNmRvq9kXB9KpOspR7oSrZO2Awe6Ta0GgdVI
MZ1ppa+IlVg660309X02LFsgw2h5o/IGWN52iYtDImhehHZ3Yw32Q9yEgNmM5cmS7IZkIoUW4ULm
52WCzytZuk0pbKb8WIHn0ubYm1/MBBjGK6gopxcPVtxqMKpF6FuVe0pHW1znob2fneiuuabetlC1
ke9waS0AYUk63yb2iL+jgcfcr2nQk78In9l5ii0GvENTEtRcJTvcPOSXFtUbym2ykmXMJX12lL/Q
llU0BP0C4gxqTFGkX9tWf7dN8Y4IgfxQgh8lqRp2RES6yFgE6ZIbX3QT3h1JJ0zaiI6siJAkZviQ
EylpDvG2dSIkUSQDwNUDXycia9k5n+6P0hz6YBqVc1JP32BnTS3GPlqXKvqytSEC0UZxZigNbjY0
aK4ldU0Co2zp2PiuDWcvpGytaudXmPU0UTj1dkWgSsAQj67sdD1W+qj7sRTAMe1uaHFF86+MPrQ9
NtNLJHN9jkRCN/Nbl/Mn2DidYNv4ULrWMRw7jTxnpHd5lPK9sEGVOkglt7qU6FGgq1tFyvZU4NeX
C0q+EEWfLqV9PRo/R4r9ZM4Kll/uJe4n4N74xzuDUwuF1qmq+KakUjgIbRSLrXmMC1XFfIq40EJl
mJfWS4/qsKvOiWHQDUWQ6DhFeMCIej0ztPAQrV+4ovpmdDmqOeSMhVHUgU0O2kaZlWyDXR21qCm1
no0ZbeJV2SFKS1dIIcgk22OaHjqkk0nVkIwY8hiMRfi6SH2lWJqrUCouS6SXMye3kiKU8Xz8RYmy
d87ZwhNlxbNNe6xzsX5JJadLlAoE7/yeRJMPV8o9o5nnTpcK0KqMAmNeG0+pkZeNUVMeFTGbVxra
USXBZswQRZEZHjRp3DXczFJsOoRh5UctAtR4Gq/GNsMzLMWpuZvcxS1Ps2lE2oGDbsxBnU+c3ADS
d5b1XIU1mWgrVoeuGFcarMqt3rQDoga+WPHahJz9EcvCQYKwRtdvUzW9AcmQeTTS2oyYDfxRzbmQ
7RDUt2qo3odS3IXG/iKUci99XeeEQNC2TYEla+1T5prdFFhdaaV+N8jhzwg4qcepINAthiUYraSD
8hvFxr8q719h3SaF4V/XBPdD/tq+/7EgkL/1W0Gg2SBeqcZBrKH6ks6h3wsCDTMmVCXHRXkAFlbu
1f8dgiLYghcrY9UMCLH86Ps5qAsYnDLB0DVZYfyD3DTW358KAi4sywpeA+ZNx1V/OgNFYaNC7K+G
65VlmRDi4YUWOd2qrEerMuZEIuSPpsaaCqOakC6GRKY2dfCxx5uiqw6wGhSvQxGLCqShOEiwGKZX
DBQn1snkTlWzb6M6Zj72GFuWBwWDOsGYB5dmqBLdUnR0VWf1cVqtF9EZT24TLaQ6uAZnF7QJrgJc
B0kIxOUYnCMUbTuiZ5XQXDOd8qVeqoeREAckPATMhpb1pW16EivLx95VHsMSQYGFCUhPrsYsPvZV
8tJVDtAOyCZknLzlbuQEBTdGzZxYOyGYIGnVM2y2JTCIOuHPLhnh7NMebPXDIuo2iPppaxgrw5JU
n4A1oanCH/mN7rq5cXLr2PX5Pf3gzHeggJqZcwsA5FvTuTeJCepFNNLHJRfycJoI7RqfoBW9hX31
HDbi1FXlGyo+F21bGxFCOdn7DvBBVLuAnTqPGc9LLvoxqHOn3kxWlntTXb1NmnuVKYxvoEWQmSL0
Fa44rJGkGVsfFNeRzu1FY4THkozfNQH7sVTTFsfWReS6+0iYt8AuPxIjfbeL9l5Pol2or09FBCRE
tXmRfEguxiZvmpj6CZVyjK6tdbbG7gqQ0UfO0XYTKuquYoXyhzYlXEIVj0Zk3ho900T8qvdGJD4Q
boyHJZG/bg7D1tCHpwKJVFfFtce4H7fNgIpl6NOdZeXPlZFmW1EP1yKW3bcMrQitd9NTDUVmIm9V
mw2T2MFd08eVbEODy6z51BClTb5gtv2JumpWZ0vV0+3Crr5MQhR8a5HRN0zDBb7Aemvn5m4qze3Q
GMxMV7LtyC0h4byfwT6QIE7uJE+caU8KyUA8xEvHZ1iImhCOdr2roparls42CsctuVZ3q6NfAHnS
PVvkpddRd20ibA3MK7K3vpqfiJsAx2nVX1WNOXpZwdOf2HknNdmDMgdhqsR7tVTSjWJnpa+q1c5C
d0e4zuB3quLu+3iifz0679TER2cmY68GUR4QBYQ8nFa7ANYTRMX8UDXmBaAONgcyejxL7792MrFY
lYQUY63Xm2K2xKUBU2uDE9mNDvknQSzLpkemFO0YtJ+EMd4GaGOil+MIKzH1rfXJI0OPwzTY6GtO
saSvwizTnMK+UT5JZkuTxDd6M0fPCMmCLucR8ozYCK9rOtSMuwY5yPNUM9rHthvdxY2q+JFrzmd8
Fhdh1CR6QMmumx7tEljrDizgw2CrIZrJZO4ZdgJHKja4fH28xWeaajPZs6kunrKJ/t1VXtYD60we
a5vZst/UCDSvn1lLizOM+Ch3DUIOExRhibCje5W4ru5Z0PQPN7G+whBq1MIKXzIziY0rFR8i3g+O
QLX/7xH6UzVk/O0R+i7Gnvv6x+1S/tZv2yWJGHQxCcoRgiMx4ur/bpcC5y6oARfH1G974n+2S0P7
RaPTApzAAmaKIYM/+J/t0kCD5BAO6DIFV+Ggoij6B9ul+dna+uH8zLbMXwFWanIsJy7zx0aLkBev
8ya/UfHNUvsNnacZ0xfaiNGub5QTqUYt9qbkKsuxK7SLs2fJr0kH1wBUz857NSRX7MX3RgYnnIGf
s1l0F78IspLK0fckEWytnpy5WdtPxEsVTM28SSFoS9eeOxPgYMLmrM/gYubmNbbZavvh3ab4nFw9
6JWIYYlWXzWz8WYZ6i5aXLRFHZA36tthn9btvnXdyy5F5CTM7cpgTJH+Gs0cmSFVD/Y0Xk8iJhKv
NZJdvIrXvFW3QlWfYgY+WzsEZ1g3xbJrtZxtAc2rZ1jdhTn349YBL0Dw8N7VU4LJ0rtw7GsfDcAU
oEM/l1DUvc6pt2QnqSgZDPVSt3Gfrs5En6DEzKEU9snV8284i+rdIswM9BlrqbKE921efeQ1tlS1
nFCHdukVuTzVJolEFiChyqWzzPTtGQCZvTgBu+FFbPblJpryB/RCykXBeIlJzTlu0RSVjks6ssLg
1eyv3FJGCQ470c/nZE6UYFhR1Sy4+XGtfGgK2moakec5LgvPcNznNNVuF7hKXgOoDBSfXiCQ0u/X
InnOmIZPOfR4ENE2BziEJegc4Fx9SAXTPl1nINHJsARxx4lEC3UUZfFjnPL6owUZ5xoBo7M45wwW
hrCaaC1w4MN7lWYHpcs3U9R6xDKjSO41FLioSxN17ugmuKVXlfETBKnbuSXiqHKg4a46A6vIxrBd
ohntFzotE/JwRJa9u9GKzNhR83H8c2Rxx+feDV6mzY2nFvWzNiRHDOHHNmHqqESa4xP3mGwMUTKR
JWCMUa6OPaevqRSq65Lxa5PI0Gf4NB554NdqWj03aZNA4cVkjGRoM9OYsSZe6DTiIdfycd9o6o0Q
oDWIJd1nWnjZRsOBWdbDoIy7qivBSVcItmY0VQUEjqgbXeb9E6qHPFY3jjo+rU3y3mEJU9J5NyX1
gmcZPlhp0dpauCuAmhV6U4Ss452T5XRtLpr1uh+vQoUQPtU9RHN50szyRozhPjcZTQ6WC5YRvZ+U
DUjf81DFMChWfHQWozYe0IQeiBKD1nChgpb80ZJGk+9YovAnqUAp1PEjzvD2zYVuB6KWX1WstTNx
OFPlfNiotw+V0qQ+SdfuTivNQ6wxaV1RvrQcd3ViqEqSbRRljgJz1sGS2fG0dRVSeFsQH9Ec9xeQ
ytJtMRrfBnrk2yHOvtFfeMJb+Aa/KQ2qjh0/0qebZcAuibl39Jfe6gOWI7oQROExgGUm2l+y9iDq
dWBKJXPD6bws+oNZInfY6kNtmQ+jmjnOLjZaDQXCUvNdako8D/bckgIzRLMWOKUCWq0ZoS3sDZLy
6A7ohOhdIwZahjtXRRR2N7mtol8O81BdTiaI36d2NcR4yvp6D6pS84k2z4PKyIxtkjBBb1R8gG10
24X6CJdxvjCMcti2SjvvHMW6NO2Z9AbHMLwht96aquqYqhPkVqTGE8F1DspKWkaauloXesXDDOEp
Q0pPD2QxqxeAz69EKIhN76T0y1YU8248YsnHfmGUk4AtB7Kr7VtwdpjBlrrbQKdKt1mtXBlle1bC
Addf9TImEzh63Z9muhWdNqteVJtIA/X5Il4OpgqeCpLLa4JowpIhG72Q3gVLs72+n+5UAWikQ7GQ
Ls95LD5WTA0s/7CRx4KIv2QDZ1osM3g5BOFoQG+zmaUH3ogHq3AGrE+Wl5rl2D7n6nWK1kMM3B3d
y2z5Dfh1j4fx2rKzdYN3D4MHHDrBjglT0MSUMQ9Xq7pcUm+FPu9CjXabwXRXqf1Oh3mFqJXmoJvY
aCEWvkuhcg9dDJ/ro2g7OiNGSp2kgL5zMnfi4sTvuJm7B4kKX23OnY0ObgIJwlydirme6OJOx5oe
ouc4aM4izT4lU3kFv7Tw5zo8EQlHb6TbR0P/arnTEuCIuVtypQnWAnkPofVEZKbDQzgM3WaYyseK
1J9UyXiNw/o0NG6M+scyeAbIIzJVAfSn6t87131ggd6qdX7MihjCKn1VPa0emjHBxmDPMICwI076
DVbZW9esviZsdJ5mq9eG2l8C/wj9sTTCXbhqshnYorikTbv0QE+F6dLpzbKDay4OHaTSTx3R7Doz
mfzE6E5ZMoC5sLfI72lCa/s6ayD6DjhIl8Gg66cWI6opYu/cDFGHEvFTG70uKZ8j5ANF21kidg49
b6jfxflJpb4nd6+/GEqMIY3lXtjd/JCjDguWik2QJWsLzTHaYcxAM+Na5FfhPWn5pl1GmrixNIRK
SocRG6hNcVgFrpkRQ4+36E2IOlM/GEZyw4H9iwKlZktCVOmxyLHAmdN+hRBEoe7ciHZcUUTohJFW
8xsdt0dGzSfQv2+rob/NdCBR2D5VWQQbobY2vZ4cwqJ+Ukm50jFhTo641Mmn1QVnaTWX0bjTa1Tk
aCjEu5utF9GQ4G1hWOX26l0JTc0rFRPhIzrff8vuz7JbZUD7110q+BxD9ydlt/yt78pu2zWlDl58
Cu/pN/0+thII700if4B6G5+4/9+7VO4vEJH4EaAAE+bt90F0zi+S4sUgkqwYABYQeP5B2S0kYezH
sRW9MEp8jeqf0HmwCD+W3TOxbyzwIaSKtbaXw2pVhf51jMGKnki91IsCZ6IiEFZIU8kQ3y1GxLpg
sZyVYiCHLrQSxHlNFgxub2w6kxpUneRCNrN4DmP1qi0rpBgzeV0bhEmFTko9AsjLvIA03ITpTdq4
X5iW9UFddAS9OMRNOsuKwcnFAgkSLCTeJiP5TuEbTopHjtq0v2Ss7LKwJI+jZp0THeFuXoBTmTfl
uO6SBrrZqBZofdPqvGJBrqzqQJseNV9eYRCgmicHBkZJ0q6vbtqeLatR9wO2K7zH4kaofX41GGu1
JWO2hKWaUxF3zYceRq9DCoGsUOygX94ZLUHi5sw7Knq0ydGjzsJ4rMuIUwczr73REerN/K/2s1qj
YKkYByL+bX1tnC/1NUkD0a7vgxNuB+KINHfaaTZkx7radXoXtKRQY0VjtwavBRIGvTw+nAyIORQD
D1sptgX8BCbZ1EMUEgtg9zB4kntHmnryvN7TkAnmKr3Pcf30fXmuW/Uyxg1EqCXRqGZxHvlIB2kY
UuekLXe9ojlbx6ovNLP4WrJKIoQOjxjSjgQVl+T9haV1wUi1PbMz1+FL2uaRCDq9isqzsvZLTQYV
BqFIzdQnYg5ceLxj9ibobswx/bNEDG/EBW5J+ZI7GT8mmuedwU3npx3VaIHavV/ia6MMnYD55rKl
A/UxKRZMRWd5ptt636/zWRu1F72tL7AdPCdj6vqW2emBHRnfEjFfTGq0vORxwxGnrwmQRwDq/B97
57Uct7F20Vf5XwAuxG7gdnLgkMMcblCURCHnjKf/V1NHNiVbdvneF6fKp2xqRsNB9xf2XrtnmOTo
2N+d+poU152sXe2ik9XdFPHXIpsCo0DgXgG6ZwgSztjJnVUXEqbkJMJbt0yKdnBvjbiwySTm9mkJ
pMWCYK5SApKTwLO2jhaRdw7PsjQcQHVMB7Ui/ByA5F2m3TRv3EFVjFOwNbXmORqKXcFjA1wIFDRE
acx9zQxlAKWEQfjqONg+rAXtPPnaU01xLUokuDHwT8cPgzXiCwllAo8/efWmC1RPJhJ/CmpEp0Gg
mJXLrnIR7orkaxOin8/s177BnZjCF0im+JI++1iSa7hg6XjMh1QuQCr1y9hGqx1GId1HP2yrkRRW
NJMGFPX0NUcbOyPxzlJnrzfBs5VY5e2sCa7A0CWj3nTupRbejiBDdG94qkI72peht59H9PeBWx79
onkSGCGJPbjVcBGElnulec11qIu30p4vs0zJwfluzoIcwNLIO2CkwU3fYyQkG5h7bFvHoQedmU6H
p0e8NH2zD824u/FdBIcoRjeYdY+Ciez6v6vt/WpTWJpfX20KBVcWf3W5qZ/7frmxZ7Eg7ZB0I5AU
8Qh+uNz03yyWMt8ocWo49PvdxtpGt9HXf6DzfN/ASKZNeI0907WYBinb/7+424jZ+fluc21idCw0
Qha3GyCmH++2uNYSUzJ8vMr02fZPodk6L6OhUwg6dZ4H50IbkD90lXgRoT3UO08j3W4B+Xl4Jru4
efBCu7j1vMiZIXN3A0v9XLaPjcWlRIR2KtcijFnIR9rDaML4GoMZObNpJrgIBMvcfNsFxlXXi7sg
nVRH8UrSKx7a8UY0LqFleHbMNIvglEke/USsx95fwVU+hCKmHW+4pRiE06Lr02tS1f2yGjhHOxgp
NEeYcaeZMDxPuApOOypAubtwOoKtg7pe9IO/KzNxY/fOTYaXYpVY8svkj5ezWyPE7sG/5dVtaZkv
oRuj5feRaCPHQBlhzgR7RB5m3r7A+GQ7N7GQF9zLT2aWYDTK04usxkMbkgNY+Sa7+gb4kA0nZ0Eg
t7ss5+Smr8p7nPjlyapRLJCPgA5anXZ1RkL2YPfDgul2BDtnJAeM7clFXmTrWZZPkKUJ5zP0ctXp
9dvc1BOJ9Zjo3abbpU281b1sZySodCVS30nzlrbdcoiaJlcojv0QXxRvymA33bsQPHL+yQZKssi9
4iGno5decu3a4cot089GEt6JQkX3tLF9QTbFPiqVWoEyuXdkyD3J+iroxEVAMUYpaN8gtLiza9bH
gSO/iCI/zpN1U04uhYZOpEKeY3Iue0XgCcZjHhloLAeCSot8m0bauDCVZw+7ndJqPMSCyZPAhET+
bLQWJTpph6W1Nvj45nR3Y1eyv+wUeV5OjdvCX9+3iYATozioddJdzz3IOMcKL/OZ8NxKIzghnrp7
GJqffNL0dqhLOsao+ob77pGUqCfpB0sT7h+VF+tI9Tb0/kabXADi81WakCESmRvPP/NlLS7pWS9S
LznjOnuJoA1tclD1m3pEno/ZqN3r5XRsBV87w4kvCtRLboZ/DdP/oybREhCcTkoelIulVkcbFOSX
TpldEfVxtD1x7hske626lwNpbzSremERSdSGeZ/hcedikoeyF1eTMjLmAgKgR1ZAX8Fo9Js7N5af
yFY41aJ7M/3srmnlnqHyRdwnxl4nP4CCyWvwqvB7QAH0BVQqj9gcYAsb0w59t7jiL4/vcQifqpqM
X0PPrkzfOFfQ6Sov+aRp3L8FNZYMWQRmVnZuwc9f5FZ4lFmbP4aCECbodGTp6bSDWsoWw1F2Q9au
Yimz7HXwMZa0U3pt4ORKiY5YssOmQvPsnefOF2nenjoDnVBnPzO0fW0tIuQdXnQwr2OsJ6kPxRtH
JzuerW3ZO8bi4JF8alIQmsDSsdBMLJhsE9QHBy0jmPDgYTc7RkYNcGpMAKuOqP85IHJ4D2pv6XlV
uzNi97HLcvQpBcH0rH3ihkEiE4qs4d0HeYGzdbTN8zjZBw1CxGXIg7Xkd+5c5fhTcMPX/HJaOT7O
VR7c1IaRHmM7dkjEYyM1pFq6M/BwLMoSUiXzSj/QF71ow12rWRoqpJCXnkrd2Ggx0KD/rulvHSh7
ml9f06u39P8ui/ovcTr84Pd7mgUPwdmoII3/hdV9uKdtyDioWy3uSMxBSlb5ffcDaIekK0fHMm6/
28z/2P2wS3Ih2BESJd6jqP5VUp0SQnzc/DDCRLyJwN5FqsHMkLfwUc7b+l3cpHNunnPoCXoSXcgA
B1k/favkfim1Z2P0wwvxN4FXi+CT+CyY2kQo/PRCGq0Ji5VkODsOhXYb6K69dubukEUZ6RImca/a
IEEktMWVN3UXVVLeS7NmeAe4bDlkiAuS2kiOfe2QgcAJsbSmFqORUypEdv00NGW5zNyQJ11RcMIm
vS15wSX5lWck/lSukrmcW5E8SZgEuegAXCCsuMcKZKwH/4e1VcOz6oidZSX5xhf9Bs5tu+oYA66a
hOAYaT9qrsTl1XlA7a0nDHcFHFvnFnHWjZaNl5qGeynScRANkdrje/vaY/PkZwGhvsY91TjZA3j9
Vqaq9bueCCSEIMzYHz23fjMD+RJkE9UPSqqkkzSSU3R2av+IjS3aACvfCc+vt00IXtaq6/tCBLvI
tYNlGoZHAAOf8NUnmz7jAhc9UOu0GMuV1imUC9fgxmjnFyPLVAJ6fGW7hJtPKSFRgHErEq46adzX
TXAqxqxbFMZ0I6tu63jmDlUiVwryP94oo3yc7hCFTOdWm9jwZC0hQdJ78VrUgQRNdCrequls5tOw
QFwmKfz+cJrK7qs7seTRhXMi7oZOJgdXVDEPMOR0aQ7dcpwYQAyhwYVlpOcqDeMNS7btnNknzGEB
Tnl766G5Qa+W0PoIp4cE4L3kEIEAO90UOYEu1tw8UG7N7FW4Jaw2vW2Gbm84CZEElv5Zhyy6CIbp
IWUqvx2t+cococ41Ydwv6rn+YqTmF5Pc1iWpEjvosHuwlAZN/7CF63SdJe5qlIW4kNbM2ifNP89x
+RRKhAKZKO5otxluVzLZDR2eVolew/I3YFu8es1XDGuEPYRrYwyr1xxfcL2ZXQ1nsSNGsmx08j76
xWTWQbOz2UgoicrGcAfFaKnHQ5o6YNjImdB9NHm29WVg0YNheNPPSDQXEzqRBzKHFElmYE2wcCLV
RY9GhMvd3Fvs3gygTK0SoLrVK0OjGyPR3lyPX1NFI1jwbYQd1N+RmdCC3RtWxcB1rmUOFKShv3BZ
VK6wK/HnIuDomz5SKZDDs4hlsx6D8hREuo/jY2RQhQbQxqcWQ2BvG3a97dPsIyscvXjZx/o5rotT
InhkrTw507oeU03bzynQpzAIw/U8TuC58A6KYcoW8UBxPHbGTdiK7cgMnAS7YTl27EpF+TTUa9iY
e1Y5x6TVdvAcSGTQX2aHeaxMKXWn9CW1b/uhgWnUHUqyQFI0VoB7l+YGMSgFAXiG2VoP3PJseza1
geYmmst+a8m43egGVK2gt19UAY3vc0AORG1vD+W2M/Ir1EbPdYEsKJrsh7bV3VOpxXZ1V8RE+rh2
7e8KM8N08+GCOX87lz+ibX/Cl6pTlOtCNXsKFaIbCgH+8bhuGrJHsEBO52FayoW99Q/jbXHax7jP
X/PHcp3sIdgs/CMjj24Vb63937++cvT8cVv87+UVW9cBcebAOPnx5Wu/c3pNdPO5l6+lv/d0ksHH
F63IvlUUv7wu/up1TN2ANYebxWYG++PreC13VjT289mILkLWwWn6hp6HYM9/eJ0fb79vfx8+T+5A
/H4SXuaPr1OhfnYAaetn4RxrgWEKPaz9+Pefma0+lJ8/tI9/mZ9epAt1vTEB/5/JMHqA8rHud/oX
lzZoUZwyvmOLm3pN/7Yxd/eX7ipdXPanaPPQrP31dXwYFrt6VV+0K/7DVbHhf+uHv39/5k9+sffv
lG0iS7HQcWLl+On9pd08MzvUjTPwukv/Wl/rJ+MxOCA5Qye8mhaHZ2M7Li+rzbBznGV2ZJp6DdVr
Q1jDf6uMb4Jb9QX+dSG5Tv9vVdSglSka8xaghHKJ/vGD3wtJBj7EEwMvtmxuTqKFPxSSSIX4FeJY
Ndm4Umj+XkhaHvIiiYYDA4kOrUjJcb9PfJQ/B/8ekGZcVjxm/2rig17ph++5MuHw53Ay6Qh40fka
P32PqsAfHc3oQSvbxcOg2Ko9kFWN0pesqqY+a7MisHJZPjl22aKzwWneSo3eMIOL2Gh9fpgD2CLJ
zBkNuegRtb1E1uhOy9KAoj+rOMlMsWApivBQ2l2xrnyP0UzTDCju59tOUWSt0Q2Z28p7D8Ast0q+
EUrsIIHPciAEuxocbRuNj6S0KbhgeVsXIaAGLfJ2hh58xoJ8N1r6Ucu6y0IPle2d1aJex8ZmcgwU
LMBwUxAUk6LjFmBy2fU/+615aAVxYiEgXR2KwyaoRLjsBtiqQAc/iTohUlkReOvRmTZeMb6JQryh
xIpXYPe6VVP1J2+0nnA55gewKwUZw+6r2RO4p2i/vM3PXp5dJQ6ENquXSy3EevswMtdec/RskZqQ
dUhQCBS1TVBAG/MZBMxO9iZSYz2qUJEiLbc2MSOyHm5Q2QY7XSWQZL0TrJNhnlcxUUjrThuvEGcg
wiG6JCLCpFdZJkz3UKMaLmliKukkJvIk7Ye9JdqXTGWhVBapKB3xKLPKSXH16cFNgfydx4bA5hJb
Pow4rkTvArb817kLSX7EBLNu4s5mbQSJzp7TcZtFWKHoi719WU3htZWY9/DSIPFO7IdMNFkzwqnn
WWfMgxTB6+46kQaXLFfKw6xntQf1MNmVTrEeYv3GwAJCkeFiacELxIgoelAeIdB/nbuwNHwJVgAr
phQlMQwFTCtNK85BzJJYNKwKhH4nNRjYQwy/uqMxSsXB7nI+4ilb+fH4WDrRF0lWgq/FIHgRnYBJ
IJ5Kat0rAbY4QWzrGVzIC+U1QTqB3E6eXcAAj3emjsNIFqgwunmjmcCFlJ4XbsdqjCUM7eRC+PJk
dOTTuROxbXP+VVdYkr5zSap0JqA2SeAsei3+bAjtyUHwNoXjTRq2F1Ov3WE8e2m5LmkSvEXVacdq
rC91y78f8/g4DRm/Ld98CDKWM2Ht3/mjJDKYT6g0A3tjldStCW7r3LSffTnc4/iDU4TcFykGJbWM
9E+N7d0MdXwZILkmjw76uOyvBsO+sSb+LpkfXdeNsReuWOIAOARwvzsxHEvN+RRM7YNqV4LcgRDq
EKsx76waZJLOYCtppienQ5sDdyxbJBHrNo45IhAqwv48hTH0xz5a9lH9VDfZwfL6U2KZ+1CfH4il
RLUApmxZWcO+rJ1oyRcWh7WW3kDo/FRaGTi/JK0Xs3CRxMXWGuaeu0ag3qyZCmcbFLQ7FDwqETCL
94RNLscGMrSJTE6duJxSBqmedn8uGNstzKrVNx3IGGbDzI7Zbul8BJxJ19ZE3mfnfXYEI55SintT
kGliI42yOoiS/USobaGOuBoJFnqNW9PLgSaEzGfKJkNbXRzwSKS7DFGTkbYMhLHzAh8ZH7s5uDV0
+5PMWDAGpnsi8d1HCqdpG/r3G2Y+KCmCxFhOpvxkwixZG3lKwJEo15OlzegfTFut8jZoOb7W7ezf
xhXshKg27vKozwmFktHnMtQuRdH3yK04I6LokWSMqxriBciarzMl8LrFPQgOVAfPWhHcETWOxiq4
mbPHDO5tcJpNfA6MJou1bThHx63vPIV6rhX0eZ6Ll2KOPFx7vUWu/fzk90CfZd9AldOq5dzVZztK
L0Pm9hZU6RG6tKEw01ZeH9LZXCeBDX+nda6hSp86j/xpoSDVMbRqF6qHrtXwfxXI2hnwOuIcu7Ng
XEe+fkhhXscKfp0gguXdzE8eUqimmh4yB8TPEJ/5PvAhjN19Bkl7dtAltQos2+vsERRue/SYEcPf
NtCF6vC4bX28z01v4dvOWcDrLj1ipF3+YVQob5kK2jKF9/YENo4oBvmd62a7UHFzqPp26JN2tcKD
y6zh2BEwQBQ6HNEiBrV3nHgZ72cFGNeSYZ/HCjmu4OPAh809yNBo5Sk0eaEg5YmOJJ4oegMlHWMC
hTJ/L0b+s0arndSvqzI0B/Bxv7R/LsrUz30vypjuUTjpShQilA+KsdfvEhMbIYljOBYoSKXxoAb8
Pt0zflMpGGhMLHobtsaUUn8ou3XdMNno8adSUjn/SmLyc0lmu8gUPZxaIEdI4/i5XWw7GKeycIZz
px/Itomnm6LZfvhQ/qIl/TYi/LG/0cmVYneAW1Ul3CFT/9iTGjx3cZw05dkaGKTh6HEaWufQMnPr
HOp11atBz5hcz0Uk3EsIafKpDqTJMkh3pmWoZ6N5MEW5bMZiX4XjBdN2UDbReo4MopdnazlN6dl3
tFVaaPup8YC3FretzhRhCo31XMmbMWp2/oT5KszGDXYUY+XY1UErSV1zk0/plLxq4JW7styDmX2i
9kDYF4VQG5u1a6awdRooBmP9te7ktkyjYZVWttxGld0tNZp4tVHZVT1KkE7G92QcVFaz5K/3FAh9
r3vMNyyjPJBx95Y2XshFZVO0ZG9+ib3SzUoyO/SR1VhTbxA8XPitHFZurg6rwSQJQuqfxiY/kOuT
rQw7v+uNAJuLeV+PYboAP/eYsLgDfDB8boR9mOw631RxecrDcVh5FbFUTuQ7S7+ob+sIPZ20SbUI
JuuUBZTRbWNdpwOij7nvnrTY2syDBJ1hSmDMZvsVWD8cPTKEcLYXjIDtoxxqmxMaKFmaVPFO6HC3
yxYC8Bh3+ToqTW68Hv2pXc6PBiRDi1/noui0G2fQuP5NfGIZyn/PTZ5Bq0F/G8q9Z7TxZdoOxpIS
7YCbDiyFUdkLww0ugvYzKsaN15HCmw3m0h4rUrDS/NGfQZf7lUtGUwA2y+3qVdvL7Sydz2XExTxM
gMak/dltMlaKcfQVtw6jFxtwZdV6d9TfX230izp66gjh39Jo4l1oEuthjO6yCLJzbzafjDjWl7Xd
aiia8z1pUmSv9+0mclXxbjHKsZt2WNsg+4gV685cOvd90MF5Tlt0FGG9NuzwNhjbalUAy1vmPqWF
DY63DxCbFvz+PDe+NVF4cF2DZPb6xwQZLzMj8TWOvRfHSJQBl+GTxeJogdcoOeXwLJdBHJGq5ej3
wVQhHnRK0j2sqyCVchUW4cCXFcQlZDO6kQrn9MDnIeX8nAifQSTK2z7O32xjEJu+1u+TICURFk/v
qLkRZUdLUrj2tdXcZzDh3DcJck3LaMjDeLcSSWRo5rq1pmRfvo+wBruuWGjzaXjMwqs7JxgIpBIJ
33IvTe4TGB17Zx7js7CGu6oyd9pcvmU0X1FSptjiyy9GW0E4Iw6c65vc8mRARFZH8SMLZBjNPipj
8UDS27idQqiiGT6BSNNu6i72MkrwtMJCx9p71ePH1/BDrGqvBDGTOs6C8OxlYJWMB62TjQBuKQkr
1yBxw3PTlfv7sinkU+g6b9gKqgXHGjtUlqlZWoLZn46Wa79q0NWGNsJa3z0HnY1BebZu6txYY0i/
KQxrPxjaDcRs0jWDBzMRz43rrApDP3pDcGamdJ6y8DQ37YZd8JIIiy9dT8gwLpZV0pCoBQh6mSBF
l02NvYA89brsL6WCNlasOLE7r8LIwVfq0R3GrrbwNe1qauuHLPKStW82bw3BJGY1PmrNm9PxTeyF
3Fg2BPqlj4SIXsgf0FLF3YShVO8n+SCDftxWVW0u4wAugOOWbXmZWNZTVth4zmfSPfo80KG/cW6B
NbVL/H9EEGzbqaiXbkpH5lpExlXNpm6Hp2FIH5pKe6bJsq71zpnPXHjVpk6r18o09mFtfRl996qa
iSfBe6oY5LTorKxXmDVdnAxptMnAft3ZmTudgiy8jYLgU4ztdTkA6j3WRPIiQGyZXOb6tLTb8Dk3
+S0O4V0UFfHKs7RD1zdPmFhnAt2tbOOraTQqZFCCEXfP0kMRjXgjFaumK/E8gOq4A9k3rabJG9ZB
TSoKT3nz6HtNh8VPZjueZndVpe3KFn2/64122GIthINHJiHmST2EdIbKMWgT4rfTyNkNqWfsmqQ/
A664aexQxQBv497uF4XmE8mDBGUWxh3951NtjLeBU4s9m6KnwiOVwA5m//Lvr90/D+10BvQY4gU2
aomp7MdLV7D1ZQdXdefCxcZoXMXuneBdO7iL43+aYP5YRagpKa0WqDKDRSWEJKnASR+QP01TjK05
NMPZ9TEaPlTTJtT+YQj5Ty+h/v2Hl0DEmqZDlw7nkgeTbCiQnC92efv3n9lfvgi+cB1ANzWWqro+
vkiDxH2M82E4W/VdVVyMGok1/zAg//OvhY/qw0uowfaHv4cSKwSGPQ5n273Nqs2cIa0d2OC/xtM/
vJKapv1Ydf34SuqdfHilFGt2JiBfnKtpXhi5YCl36LLT0K/7DEPw/A+T8j9P5JWN3kTNhekfXfRP
w702iMe5hmUM7v7JQPYjEVaFxyl7ev8V/ddrGExrf91r7LPyrY5e07/oNfi5772GQUOh1j7MAKjQ
2Nb/0WsY4jcDhYHkMHgHKvFT/+s1LBoUCyQ9xT8/KKEb/t5rWOZviBLg0aHTY0AMm+7fSP4M68fn
C/4fYj/HxCrKqaTajp/OCRnC0h21ajqNVgnLxUCYJU+lZB//VZ/n3KHUavWW292KdDnvCoE1O6dc
jjnBhJ3c+GaoKmN/2NUGmWULCGefAx1ueOH5ryz/bxM/yc5kcqKfmYW5sRwDu6OtN6dCiK9h6XLj
ZmbG00CmS9h1SJMb4DitGCT8FcO5mEmEB7iYtpT7CXlWy1Gwvo3joL5EGoOLJPIuaMaTI217vmrK
YdogNygXbYXjL2WxvmSPr8x6hodIazrgqL5wi9Y/ZhEqoUTzWNIwMHKprQXqJYIGN6Mnw5XVcg1X
1HiQbt/TsLkRK7djz2trzymndynG/CDD7s4Q+AD9zC5WeURLFHiTdlnH4vOQc9FXhTS2hRN/neP4
RQ4RIyO7N6CJ+mjFSzue7omv8eGPhqcAafi+C+O3NpjNZ8peHeoxNPNepNVKNimzLoJnER55uXdk
dmasxaBrB7sc9QsnytttxI5/gRVKXNRSXrtgem7phPZDON1pJTyows7trY75VAo0eegSEHvjVKY8
pYubE6VK1AecdVOiXRhhx2h0qkPnuS+JDvB1Kzm2/mS0WxJjJsrkua5FDeUtW/SEGUWnyaBmX2DS
xDvPLFUfvKXraQiqXa8iycOUmrMv28m808wujfY4rOZD3efeVcSMrVoUs8u6l0A1CzuWX6BNjBLv
a294yYVZYBQNsvnW7rmnV/+dXu9CKDXW+JvTK5/+YnWlfub3k8v5TeAwRwBkvzvWuay+T0kMsj89
ndUUjAP5Hg72+8klOe6w5kgh4cx4OBr/OLlUbAbzhv9ljLIM/1cnl/hxRYvKClyMpd4DJBkky9ZP
l6kVpuB7e9leZokIN0WRgtkuMnrJa3QRc08/4oX+LNZ22OshI7c+GdaO0ZpkUmMAIwXDniIrPVZu
VE1XrD7AJ5KaMDgARoxRVKTROGloYTGhu+PJsNMI/b3mx7250nyvyF9mFJX2WXadV+crSQYPuXiO
MzTj0sBZ27zKGZTZzGgV/pm+HMe697Do92G9jZvSIxVZBzVNcNmiGgb7viqwvbjML6uuUDrFJGa0
UA39kfTFaWO6UX4p06S7wfIwfNJzxynZMIXBp96ux00KNPkiEklBK1v4l7GGNJNtQ7gD2sO62h2s
6dqA9b5vumI4JTk0FYPh6qr2y6/F4DYq9NGsX4nIaZZpa5vdMvQdJvVO3N6ZQ5Ut+QSdz+6cets+
TAcmACi4GAxvU822btxZh/5sBYQbdDrWctcgBMdpW411kz5d1iziNgmatY1dGhB6m4YNFOMXbFNz
3+4qX2f8aZRItjwvNF8shQUJ5zmGymZ25qeEHhE8OYELUxI3Txb2FchTJuq3ksZldrPuqgNrwkea
77FDG7dGE+kpqGL0HVBxPKgpRXg5KdxKMDnRpaMwLJ5HAkU8e+4l5m1nhyufjmTCEhVawfQZt3d6
wUS6eejwpoP0imF6a5F5gn2QzgsRNslm8hAe41MX1wwENBg3TnO2IqtctZ1eHJFI9McG3A1e+BkJ
j4Zq2JnGr4Mdpju3zILDWEQ27y2W2ilC2Y6mrkGaVkzYu9uWI7ya0MOXAfFNNqu+xejUVHCz6fmH
tNbEA2ONR1ad5oWpueUVb9/faAnCq6Yw7U1b1/rVNIfIkLDS7IMoZz/AAo12u5xuQoVO6puhWk9R
N66DfvY3DfvY4L+T9duC32Ba+uuT9fhW539RE/Izv5+skhpOINsgEPF/x+f3k5UkZoSdWBlNnXpM
SM7j7zUhx+f7UNjA5cg5qubC30UBNicr+UE6gFegyygG/s3JKtXs948uBU0AFgiEnx4FD2IexsQ/
dinSKAPdCOf2UjaSNSzrOxaGoZmuZGV7W9m7ryiVh01VYibHrBjbUC0at5u8lYzM+Dkyjc6/Cv2i
q/Z21JQZY4540NesEztJPG5dD+d8KC9LK4nuNOapHnPnWbITmhuKljB+sYAgXE85/i/CkDivA/px
DFy5OuJNeyZW7v3bWjlj3e1tX8vYDhrvAJ0MJwgjmZHV0zivrE40UbMx8zEyDlkGy/k2mClumBL7
MeMyJH1bzwp08gLyYDv2rViRnRyTATBV6wFbxLZPCHMfxmre6qQYP8x92Bm7BIb2vLaabgpWk+nN
4zrt8GFQNfvavM7tUmuQ+8/i1E1NiETcLMRtJESt4qVL+P/51GyNMkza28RK2YHjDU2vRlOE5raS
/P8pIPp2HmwM3iX7QawtY1jIfZUalr7+r/h5L34URvnXj+jprf789uXPD6n6qe8PqcpE5ykE+Uzj
zPPGv/r9ITV+M5Hz2NBxpCE+Loksnmz2STyNkHVZ33x8SMVvtDWWxF5lsXf5l4mqRLr+/JS6FGdK
CcSpwEr6Z1mfpZkDI9okuWLF3NYHr41Y8UYEfmiPbpHIYZ0J3EN4G+OKqz9ZdSa2+zrbjfu97hOJ
mr9PsRdx6z6EE89MGfV3zJLqoz6mBQwXhgd4F/JE7UThrDT+FU0cWTMxCamlCWUiGrKbIpmuRi3t
wUyYr6TtOUunTo6lPp9zgX5W+vXDqHGNOWRede74MOvDF1HKG0R7/AHc9LtgdDbIJIodqejXTCy+
9gXZFVmcqaAtXTCJaRNU2NmZQgMzkD7BUSFT3C38awTmQCaU0iQQhF2OtUv+VmnSww07X5jPNEYg
zYoJum08pwTDVv3ac+x4h7ggXXu1hCZT+GKdVeFTl1TtKnfKhBBXvBazcl1Yyn/RvVsxBuXKCN8N
GuzQpbWgm5k4ZnBwhKGOhFO5Ohrl79CV00Mqz4dQ7o9C+UAa5QiJlDckMHCJTNhFwCKZ51A5SHLl
JRGVbLdM15tN+G416ZXrxMR+4isfSv5O0gux/0zKpdK+G1Zi5V2BUmcd3bIGeJx5EyoYfG5VdLCl
JoiwTxoNdJ0KxZlkYnwyKstedUhxZRXHp5ANeefTfrf0yWGOcIaJ50bH5mzHHrGLo9JvWHXylhbE
gTfJRaHrwSqTwzZtE+S6jnOqPe1EwA5fpAwYSpnewCY6lGb9bGrJRTwQcl6Z2Z0VhIgQQvezXVZn
BPOXeTbiCQ9bmZydeCK/CTutFZMWEMbziciCfKFTqicl0XSgQPx9MoX7LoN0y64jhyFrQkqcg8/z
iNbaJxmWlYbSgyg/lePlUC5q5zPkXPLhbD1ZjmbbrKxwXHdGu5LZdM/qZ1xNbe6sIhgtLCoJ8fB9
+5KRQwbOxyl2WoC9gViP9RjxX8bKp2V4a4kSZJno9NGp40FVnO2e3UfUr/RRv5QON1yCjAXDToLc
AHwHaT540Z3UXEfEEIEzMl/EaJA/NxW3LPQiFDK0yH7eSMI5yQCJMCFjBPWAusq3zA++oCBSMULp
ErEPWwgtPndOPvAdMNeG3oF8aqZsXRjqXikGb+Py1ddhW61yvW6DlU/4E14LSE5YyWMo1oe8aYu7
/+6Pb80zfeuv749jlAfNn68Pgx/6fn0g/EQP4FDLGcL81iL/fn3g9OVrLBjMCyUJ/6PEE7+hr3Jd
SZ/sivc67vcS7z1zEmORyRxRMjT8V82zpFb8qcRjvOhiH2K8QwCRwt59HERD/AInCqnsEgiyVd/D
XITGsMynzFiFIA+Qd8aNGZEQm5DOhBAAsiGMQx3UkPdOPazfCYjtOw1xeicjZkUN7fMbL9FpKMia
xj+Qzgx4ClbOnFwXWfJYcmUgs3oZB7Nlf2ldTgJSmZ07CAfUEwGF5hOgKbEw9dykjWQxP0FlHFui
mPM4WWYmoTyD1dyGhv9Ev0f2bqHHuEjSMAvGB6LAmmUWdfO25xoqCxDPchTLouNpP9naRHwsYr5I
ZVvCqBhgY2Mv8lXypQkFOug5cFqR+UujzDec2cOyIDCzirVdFLEKHYnS1FWmZqrSNWc7u4+I2zRP
RCuc4EatRuV69VQqp5/6dwYxnRl0HA+MVzxfG624H/rmUXCqQHCqvNN/D+K3B5HH49cP4sVr8vYX
zyE/8/05NM3fLOQvzDlUAIb+EXqMDIgqjAcKd5vSUn+Yv4NDRuGjnPr8S9Is+AO/91rub4IhFo0R
pR/E5H+n9fmLFAR1BlATujgnEGL/7GZg8kxVX+XOVdKnwZGbp/JvxxGA346csGQ72OS8TxIFJoyK
FfK2dM/1NoBP05xdguN6n00mGyTcRQmwUZj3I9nm5Hvi07Uy48J1ULoMMZdhEuQHjWCOk5xx/Iyp
vhEZmlS2pRtvdt+cuGczS0rsirtwzpYiDEiFGo4xpAjt/9k7k+W4rTQLv0q/AByYL7BsADlnchRJ
URsEKZHAxTxPT98fpFJZkocO771xOYpOJskELv7hnO98RUas8Ag8ZQxuwUlkK1iiXRETo8YdAXNi
YaM/6tFdvcIo1BVLQTD44BeQKrpFu3Jb902EPewZ53qpnQML0nvpsDGGdKGsyIsiLE81DIxmhWHA
dvmY4U93oGTk0DIiCTaD9QWQxxWlocHUYMJyMJxqk6jhswFzo1/hG/MAzDztAHK0q11PmtAPV1hH
01TCE/A76hXkkTb6KW2zqzoj0Usk0aWG+dHA/ugQ7uKO4znckQBRjjxsw+qYr8CQnCg/C4KIyuaO
qBjhuQsM9xTKiKjAjRhiPi7wR5wmvp1XIEncJYd+RZTUK6zEnTkGV0N/tYJMEogmTNWeUzpcZkel
bxnNsiUbERdcFX8G0k7W7YpGKbR5h8j9mLGh2OXQU4gGA6C2AlVk0zxWYWxujOa9X5Er9gpfYfTO
OgPoMHOHd2UFtCAyu65XZMuywlsGKC7OinNR4LogTL/NcK+5A5WlOZQ+HEXhWxE1/7RiYWbCBB04
MYKJ2yZZ0TEs859NWDJWZBIKt9zW7OwZyT+PhJyBq4vfMWjOW5xoCEZbKjox79MVVdN8hdZAr5lW
jI1CQh2czGibQLiZV9QN092tgH0z01CVhIOvMmVpt6/EhupnZqpsG/J+AmuKkg38JKmoO35/e5/P
2sQyypI9Cou8IT2zcwSGMVIP+aR0gT6lDnlxuv7FlwKznQxx5eDnAGWoShIvUpgRPEbi/Tyo1ws3
w+2MX34HSBuNKYNHEjD0o2Ekhm9GrmfUvAZwtXKdRBFw5UktN4RKQGewaiMFWzmrGwyX0wGxjuVZ
dSmPjjMtzEyscVOSpIv6DXabOgzbscs/O2TD1gNeTw6piwHkwBOuezu3IgraLLmq7Up6uvbEaHq+
bzQlfaZKp/Wo0Z8a7EG0sAHn2nFBNrYBfnTNujORxU8FFa3BoNlzEDPuch2ekSjwGGpjP1zlpokB
sMTfocyXVB/gRSAz6llArShDQEmyfW16ZacZ1JMDeQ0ABQz0gc4R+KN11CLgemWFclVHD/dJZybk
WQV6hj6CEWCuD8oiFlkgKcfJcMxyf+kW9XOt6R+TPA+3LqQnmNWjsysWbJRpCvi6zJH5tkqiMm+p
S0/T1883tHMPCMkJtt4uG8cryR3lj5iP6U5uwU8vngqbTYvKkzYbO5kDxCpdUpmTpWFM6zr+FEMJ
MQizNDq6v4qRbZfE8zYv8tvYkiYmFSjipWOdnKgnMbFSd9JKn9Wh2fVKe7+kw4CFDal7jGux0NJL
2zfRdu7zNe+22YVVtbf79j0ywjiweHgESNe5YZEH6Rdnyj/kbZKdoTreFPxFWb0hos5LrCAR/Spj
9SdKH9y51Yke7G0qdSKXy/zYpUT1Rdq0IyHu/t8K4VuFwGTk7yqEtn37s3ksr/peI1Crr7EH+LMM
nVtt1Un8t1bHuL/+30xZWI//OI/9RnpmgYF3imqeKKXfawT3N6ECjMbE9Z0P/Q+wPOQx/Vqtk9Sk
Q9GiIjHVlTr3c7U+9O6kUIWP1zO1r9jEQ5ggeBPuzEJDxhsCcU7dkkbGZk6GIX3Uek1RA8bIsjtU
i1xjPADVn1t0VWSX0g8vuIeqosT/Uhi2BTdxRFqaVRC5oGo1HHFspfaTrUXu+zd26ty2CGE7Kcww
CElEcYOsKkcb376yjjxrGwgONql0xACzlGhpPPGVy5rrEYxWU2i55oXO191ICsT1K8+1GSLTesg0
XFFbnBAHxsYcOIVtMl6CcrmfDLix76PhTNsoYcO0iSJGTxucaeoesm10VEIne5Uw1gIXCzVxLNU8
bJSMfRpUN57PMU21msPRoBmwXgeLJdey5Ajm1JnsRquOzJ01x+/2qAAVKJx3Kh2THOIo34iKr2EN
XjNR+2aHg3w8xRFOMWc9VCOZExzUkfnDIoaWQIA21rUubYKcnbbXqAqZravKQZuluif3hjokHIsX
DYw8iQFldKwaJbsxZzKZsklzd0CS31KxWDsjM6JNFQ/mri078nGJT6FsIwPGtPrsJlURsdauiS5l
YMhV1+PGUXBMRY7xFrdKuafn4bIYIGvmkVlvmhKEi2orr1WKh89eMjJ73RKQbtO8C4gruwq+NWYG
Cr9gbPCAZB3pS2WZt0f8gkmgK3Fy4WcG4gsO8JiOgy/7RA2omTnyxTjfEipLaoELiqhdDWLlmBMP
3JiON/bhsCmWhh/TMT5mRQoxuE4ir1lDgMIVDFpi9/a6aqi9HhneTsvs+hbdLOKDaOxuhaQiWYgr
RfM9o2llqZVtF9UlxpQcHa81p2ozaaL3YLbWm3Aq0r2WAelkrJ/v/z02vx6b5t82VveSEOW57P/Y
XK2v+35w6ngiTBuJocU0XLfW5uW/B6fxGysq+qO1ucHjype+GylWTAo0ERX3qrMGyf1+cILI/zo0
RyW5UkfWyfo/OTj/uMkydYeWalUJAEtZFQe/jDn6lgATu7yZGhUU7mCSAIGTibpi3McC3NMwz5hF
1VElmcVST2oGkZEYbpEeaKXKj1QV7QUKy+S1hlHfJ71t7q2pb6/GNKy+VORa7UQ2YHfPBLVnxA3v
V66CFTMH137Touy5ZtRqPiuq3W21UIdtAvOW7JMiLCAhVu4XGpy7ecqs60jTlKPOqHS3OHb+0Dmz
9ZwNorkfdau/dG0sDmm/ntmiZ6irWXP5aPQqNASj1d9KzoePlpoV+8hq3aCowvZloLHdxDwENuyU
xp1IRrT38VDdjiT7Zr3stpGMqmDABjhcxwoW2s/E1cfmSSPBdZ62XZn2O23peuWN0jeJr0Cn0EbU
YVs0+E0BuwsKlfg+Tlx4zNj8aTHABaMsQPVT2kBTzHgyt2VGDjQj06EalcCC9y1PtlIwPJd9Nr8m
A9XsRmd66dbh9GyPmfGCktSiSZioj6LYto4z7c19N5bLi2FZsPipp9RTtBJFZMTpGVZD9MqVJH21
WJaXsI2XN0avHxul3haRPCqrbzPXoI8j7aj2GEwiIlW0ft6lrOWBE3fzOV2pK1aHwcyb8hIhuBwj
uW2RN9O/DWR5oVt+MoXMDiiKH4y0jnlG1TPcMXBlOOa6vZ209r0TV/mhUzr3oVJr+2pya5VnwkrG
0jur/BAi0nhrh8x9VchxORpZhy12ypEBa0rQdOi/B0VpJ8BQKO8R9svqXdAeH+YqLBibOe3Bwojw
KYJQHCwurhZSBJOzgCjFFL5OnrVQlFTIYj636VI+L/2knLh4V25OMdKxNOFHZ8nHhwIQ6aYvJ3mv
yKm6iQfMCwXhppSvpskUoG0Jjafdi7tNO1ltEBHDJFYHqL3XB0DJNt1iZhzFNBq3s02gnaeWtvZW
ldWyrSVmIrdqV1wYffS/Z/HXs5iF/d+UsPcvxf94iApemi+y+BPR1vrq7ycyclM036hCQRMjpVxL
ye8nMvFfjkoIpKkCzUBOzcz3d2nBSpICuyzAhPwsLTDgFyA4gFT0n3n1PzqRdc72nwbPKNKRmlIX
45/jVFbXr/+ggHahDSD0AcKnpKDgrYGKzgEKeAB+VH8ilhOETFcjX2GvpwguuhQ/PBVD3SYPc5Im
G3fBK3NVNLoZFHUVTVj1hTrcTqNTzi89zxrMQhH7+h7nTDYkOJ9qw3GgHBmsCHEsC61eDjyeoPbs
Ojq2+N7pgB83VrcmKSqI0LGsL8mHvMyGB5N9pO5nqTozcCb8gY1cEm+rKsMn1GUwamJcURmqhseC
FI/em0HBPla5u86qrGrBFlEsGhToti58xlbOjZEO1bORc6/CwLL2ZA6jo9KGLLyGOR05OO4TiSsF
mamfh5DnsXnZoe+W+gHrR+7nRtITPC7yK2EXwx345XjT9Klu0pEWhJQqeMr6rHY+6azYFt/t3HLx
BvSg1OOOtISfaJm4g1pMusfS5XKfNWL5nOuKEcSRObeFP6u11cCGdK2kCj3T6NPy4AxGt8MaMSst
2H5leO5wIGvo6ajxzETr0dZxVqxKu+Wb7o4uhRZhT6IZ/9lcNdFOqN1y2zYD0g63aG9dhCXbBA2t
62XYMj6AwbxyDaS7AEZXjUihRAP1fquWuR991ZHEXzUlmN6S5zRr9Q+T24Mz8uyeihfnh8z2qlFw
nKKFCpNDzU5sYmwnzfHNHp3ozTVcsWNVGm4zGfMMxakeM3BosdAoxIcju2s/Mj6smutagZFpL92/
J9c3KdQqS/jr5vvqpXr5YwW5vub7ecV4Hgk8afdstkDPrgKM7+cVX7KRzjvYPjixvkopvp9Xzm9r
vWkgS/3GdOdVv4/nNYvDj+XRKt5YQfD/oIJkDfDLecWJKOi9VzGHixzqq3z+h/OqqdvctAZ9ua5W
s7+md6bXuJQelTU/aEm9C9e99qjVQVj1r2ofwv7EfIkI8tRaYRbUqfKwphFimr1YC+5Xq4MZFGYd
5ZG8tmW2nUOHAKcIX77W62QLqjuYzZfRsM5lXu6cyN33iX6dqOBrHbp4v4kY6LOqvrctlImdob0p
dkFjSqhaOpjRRdhpBSAOZ6JTW5uZwsMDdbrLiUJQLR7jOJAemVjftHp2bSEa8XryE92zMWSPhJPt
will32C5t1kS3VNk+TgACIaywPZGWamyNzcJv42Sy7L01UvR8T6zNewWpaHM6CMf3cGeoCiAJsSA
BizZ4k3nSrUj6LY69mqUrlk0uPZ14QYpWc0ysyj9sleI1cG6kvSqASxJjV3eJ3hvN7HA2woVee+Y
7kEQM7nsXNgxWOvNTDvoc3ky1EweNYWYuWJGcd4g+A9TcR7TsvTd0b6vNUkUMTWarxSwdSO3Ma+J
RzwUY68iOic/x2qt7MAA6MpODdKli85vu/BTGzkfEsWxDlIx9uYcvjGbwSxLqhG2DHLfrGT0AL/A
ETZNwpLDli1+rn6YHUS+YrIOpApPgRlVd6hC9hMSaz8mMtmPON79UrbhwR4HFRIFJ1iVkJFYtP1m
ieXMxJo5hBWlnxutYGJfr0R7ZdHv3FoDh2+lm9hyiA9BohcoSGS2w9fdT7augfCSFqQgsxqKHHX0
R5zUh4q90bQukIZ1lWTrItl1JRifPeTAMrx3Rkc54mD4Eikl0+QwdY9LFcOizZpDU0cfWpUxj9rp
e1OB/wPaYtPGvbUZ8Pg6Q1GeCqe5IOh9Lyd8zOYyIh8aPlYt7ZC9yMderxNPsn/zh7D6CMZWxd6x
nPtiOue5avqNk9wunTMgzmG6P1qXYuWqhMojxmPVR/i65xHOTx2Z1wJ1S+9oW0ui+mlNTLjoW3aJ
0M8ZMHc46t2nhSQXwoIeXIh9qLfDQ6TX1o5EWySIGinQTVK2WxkXL66aXuKIxXIWAfN33UuRkWlo
sQIBZ/lFhvKhVObaj5QIvLuufjFk9TjAElRA/XoN4smXobE2iqY8M3CPvbFzLsYEiFkjPOsWk+0n
JhunVhNfxNKeZqu6WjTzFMnFJODGup7KUr8UTc7arM42IEdOxtSwokoI+9bjOxgj8JTkzGz9Q6ps
zNk5VZKFxQC4jmBDavVK+SAHAeEuzW4dKRRfL5vnSukAT/ehXyjIpy2igm2jC4wxDHKCExTF3i8t
tkbqnJr4xdb1m5SRT+xe2DkcWL5cSybbvcmnjm3wNAjWLWm+fKLa77YdwmgbC72F1iRTksjvhvrc
j8vBreSrblUMdTQNovHoIiNL7rvMenXJN4NnyNCtqMVjpHSFr+UhN3EJnsmgtchrzkK2aFCE2kKf
829ey39NaRo+h79+4p7L9n/+t4jesrc/06fw0u8PXroBRIN4O5hur3mEP7s7mL8QsSIgZACg4On6
/cFr/gacAvsqtkI21uvy+78PXrJZkCczDrd0Ri6W9o/AZMyUfmoTwKEB0qBHWZG5NCDr13947CaO
YE1UuMlVD+bcElz3O7N++uEPc/NN0PwTl/EXvO26w8c5AmwJNQ6DIri8P79LHbJOtxYruerKRGZB
6agFOiySEv3QIM8vMVoiUthJwtd1Cr+HBOVnS3gaWBvfqVV8m0nQRFYsz6OqsvPmIQT/qMc+r0nV
V6P4MKK57If4Igd3X/XaWV3G23bWL/VSnqbGuEZZfVQT7sN8iCIvUWt3K9axMMhGBiS6+4UBy4jZ
P+eLZJCxj+rfJapnj8kwMX2gHeG0hbx+EjB9ZkJS7eOoLPkuHCcRdGuBm6ylLtgqqt6U6CWfzukx
XMthEmeNT3oOkUehZdtJNY3tTdzXdDflXKdPJUDZYHZofvaRu1bV2tcKezCcK3tuZ1ZUa/E92U4M
EN6oDOdx0WsbCoee7Rplsa2dVo741uHA0Y3Wfm/l3RxSGlnKNUhf5cL3r4IWkWC6mvlLZKIOW7KA
I6xheI/cHIGm3BuZmR57bBbODe/XGp+sORLtiSf/ULL+MO5K0VjTTawltHrR7J7cxhZHgA/R81p4
Pg0iRr2ezZjHuqI3D2hjLWiiOqG7e4dNCvmFY+s+ED/IYwbt9kbpVcIRK0D7WZ+Ofh1F82HQreHK
7Xux6fibnxmQtS8tAolpJkxsnhzdc2vyCSEvbND7o2MCtXYHveOYqITKuaXm3mE94cBOYhk4M2lh
ZZVjCUrNYCg1dPXyCUz9cOajGwKb8LRN0yGAaqlIaWMnebQhsG0Eq95d12Ua0xr0im086ChC63Zn
G8N+NAs4E5Pe3kYsZ9kM5BdCPkiJb4tt3shbs7QODvlaQWhn+1KCLosM9aZ1x/tOE8MD9AHnHeQJ
mo40sMfJfi9lH1g5iUJhrX1QlX4bMcNE7JluXCXfpg6b1onRT2tXX9q2eytk8zYn8yNyKcC9w9Gd
8i0HiCfMZWdO6mV2hsBwYapb+nlZm/RmeFWZbNa5ss1Gjb1B7TX9/LnoF/YNnwkx1oLRzgy2LxCa
Umt4tmz5mi22ubFbFJZs3SPo08tZz/WDEekXu+qDsU+fKz6+tjMYZjliEw72FvLWvleX5ylsiSQG
jVertUc0Ee6dtlAPiaUlgTazxBXiht/xzoJfRdzeEqGxCFviEAjzjU07xRKl33ZZ0V7GujtF+sTF
3Gm7rGYIQYYaV1k+n1xuIrUkIsYlatJxzk5lnAkIfSLvx08tcd/r0S2DizPeMH/Q3XPeD7exi8JD
rzZ6mEi2XOQezKnmJTE5SH1DFRs16lWqpJ/KVPtUpfmR0f2pzJxj0mu3y6gFmQ5vJcsuSJv9Oqvn
0yIE80mWO048f65TsaefD9wGNUGMInpexiMTgPlQL0Vx7JzySz6HtM6onYM5AlVmTUa6q10yNVsg
GsvMIPXvT94/cR2Tqqsy7qZ5wKPL//588sazBnDPzuRVWaf6hpHoDN5iTgNQ19m5y40xEAMRBmWc
s+1a3rSqbm/rOlU/OER4eOU03RHvfVanMEhd8aRO3a6O7fciTaKgqmC5QAVkMjSr23Lhms7IjC9D
q/VHFomeWePgE063H8rylQFI76O7ftRxQm9gSgBxU6kts8Ifa7+dDlpFgmoXFjstaXY6OLlMJ24q
Jxsky+9BCx37MD0tbXase/0sqvLstLpLKTuXQTvLvT7Flg992bdDpdzGtDQRz6WgVds7c+5JnYzt
oxq73Nf4UMAMaQh9m+khkYNJjBfzdn3Wr03SFGFX2HifZXoZquUqbpNDOlo7CwZKILP6EBagA3sH
qljuEJ/XJRsrqs5ZlA+eKPRrmY2nrM/3PNegDVXMf8q53ZZJc50m2R0ACaQjxUC+RqFI31jruaa5
kUY7BPmC0Iva9MGcTazHk6R4Fic5cDFNXKAOwqU0rb+kNfHgVb7mKzwn+RzkBgw84htGziFSf7+U
rjirtUqAhat8CTV78Sod2XuPUTBl6XJQqvUs685S2B91NQP2PA+eg+RlznWNvKs5xccZXRuLpQVF
jBParBJnr+dJ/1jCHD+h0GwuGRvIw99fqoxSfy1EbHAwjmCRBFdm5YH9VIgszYhvM5dXIQ2qkRwb
vf82GvpLbPLPUly+pcEwFP2fa2HmJ7/uFykuc8nCctwousrsBEb6tezlXlZ3zZhwJWCSsOutm2z+
/rdCOPDT7/XHd11/7x8KrL5Ku8o0FOWizsU9fACafv6Fp+JHtvIsNpDb+p1jPdmhcRj6IvWHqaP2
L8bSV3VZ+kWzfCwVcZadqfrQnLaZO2qvTmyKIFeTB5teIIjS+SQy89kOiU/VMsPuuZqKklxjUWwc
FiiBVsGaEcU8H/pJGK9lAcMb8aFBKLr8nHGtbmoVjB4n8Bx0DIp8pBD3vZktCLTSBxRH+iGPAJbN
3RfEPHseSh/aptna7Qh73Ur2hhorCASpULKxKHbz0qt+TeJz0IwWq2+ChcjYwLUv4dEaEZMAdz5x
0b/X7ah7bSUBt0MpH80P0wL4SE2PVlcidEsp1mRo4DHtCCmwQeOnS3JC0RcUc6gHRqaCMQpTTln1
aVAB2MskvzjxtCsaIqjDhSsYs0AX5bhNq6BMcserlsQJmiy8VMD5I0vstdJefCea7nG0UcDR8vUd
4xHD6FR/Ed1OqSCvan35Ykf1pVHz2xqjHRbRzmu142ANCrIHg1BVhxNR0x6KOd5PIbmtjIOvKptn
ZFJZB/bxb06tEnEHVra2zF1UmWcx/gcR/ZeX+Fdk3e+Owj9ebXQUP15to0mJoS9cbcm5uImulG19
qh/ZdB6IRzg7PHr8z/roIS67FJ/G099f6/qqjvnjmzMQRIivs5Neb8AfLnWcdg55bKZyYcXnFWfd
r7Y9MTwn5Uls4WY/XCv++WnY0F0PL/wju5rPqneU2/CK7V/+//w0Pzc23/4SBkB4C+QHbdSvrq1Z
HdEmaus2Vb2pDBaN6lMzfJMs/OWf++cz64/v8cuOBZNXr8RxFvNwfYsI6Zpv//4v+qe/g0CrLBzT
YKHzy6eZT/aCeLLm4a3c1C73g0XN+e2E+rd9Xwnbf92+X16+vDV/MjJfX/Xfzh06OAcyORY6/kPU
4z+MzNXfoLnQu9Ox4YAnDu6/nbv4jUm26/CJGQ7Wjx/VahgTVyU7/jO8i7TB/4heifzjp/sN+7DD
MBOsJGEDbBmd9Yf48X5jMDm3eqdF1yEpWGLO2ei1q2lqbq6I93iqUsWrJqLfFzkfBfb4XZFHPLr7
vappb6Yy1P7oWpyMIwwZkZ0mQDLe4ibAEwdUbaRIr+e115UAy5w8ewSJjadKuoSyy+qz1lc42pz+
qmMYPWjDMzmnRFGmGwuGMIKB+JPtZoFC8/DIo1zdF1RvUT6GvghJJ+HHLrd9z5UtARqTW/xMaB2Z
JxJFW2uY6KQU29xOXfhORMUbNmW2hejQN05JXiVd1n2ZxrdTVLzgc3xkgghL0I4Yblp0dCkjastW
CPmwwXxXLvzyVpSvjpV8RoqC+43VY8NIOOgbMhnbSrtRMhLKMuJdquWUlBIfSUNAC6Fj2OaSG7Uw
Jk/KrCMblLSdjOpih5N48IZ2/By2CSAHrZdeGjtIp2ILj4yafBiG+QZ/TOwZKjyd1sgYlOfufZsz
Jcy127YYGxZzZh4o7nKKM/cYd9OpKmPVF2MMJbQbDpFWkedWoq3Fy1J6ZW8pW0W2TuDCdX5o07LY
u+hRoAaKBDl7ZxyxryZbtBVfkPXNx2iICUUp8BK2eeLsDObPmyoyznatHWrTqZDYhuHtrKz+VKCQ
2zniaepmOWA3RRICCjn6trSVXblCA6WgiK0/zditd21krCrGmOY0EpI+wNwKnDYYxFET2kW47aJ6
2QhRCOjY+WcS13NfE/RtMCzyTVasoeZ5+CkT48GOmuoi02oO+KZzAHxjm0jG+eoybGSodZuhgCms
6/UdjV8cCCwRQTJh/nN6PFVqaxr7hpGmH/XL575RDa9qyR/qFTPzkrRw/T4sxV4m+hAss3NBNO8S
/2u/NRUQ5sbVroqRcanRcSnT001BNLAoqiLmUppi3xex8WkQKSBoeiiCc0W279oJHmM0EvATtoeQ
rk+Q5OqNebgKCAu08P3AZeyKm1BlY1GbmbknKubZTfRXup2dUKZuo0/tRckV8N2KA3BxLIIlrl9h
oJNaMooaznnr2rf4HzrzqC3M1CjQLTrWqWFpb4xv2Rw/TRH3vJ46JcMT1isz25vZ6IwbMebPY0GM
fehIpKAtmOzamh8n+m06IwTWk1xFRG4alCUJO2laYmLuxx16IFL2cH2GDRYWLY7sE2xaVEgO/O3Z
Kj4sZXjd2NW5n1yC2cviXXb1vW7Eh0J3ToMDQalLTssS73Qa51iJL2qCJ6OcESMiZ0JL2Zh3qFeG
QOP7butJOzkGUx+awQN0UH3D7O15dKN9O5onhJ3vdie2bQrbtRTmpgzz+cim4EVfi7xaW3dtE2oC
OQ/2US7d1pmiieTLRHTdUxHVQ7mdYuJbQao25b2BZuqRVnZkMqFXqWer7dDsDWygn6K0tI5dW2XR
DSD3iBz2WjE/hZGth5eERJ9dTqRg0Lvhk8ZkYmNNOpdGuAbVr/Zms0wHgPqI3keuu4212qC5Cp97
s98vwLbWDOp9vFqmxWqeHmVUeC5+amdZrqcCay4kusXHinST2RFl9mrDzivJ8ZRiZu3xaEeNuG1s
TD/kgW5n2VZ7eL2ZL3B2M+NhnjA81qvlm7t45+ABX9we/BeucNeUpz6dLb+q1BdyHCExrtIkbIHa
iFKi68J2X2eK5Fpb/eaq7s+YjXGxYkYvUPmmh6KkUWyN4kWUQ7wx9L7xhS3PMk1edWfkNJheJ6Fv
i3quyI62dqFpch9mCHOFkn5QJ7KZiUVM9w5GkoLoa5JylcFBfmfJ7TAn77YRQ+LraKgN8J+Z3GgU
bFBvIahkQ43nIx/h+yMoiUNOvybPo22BtIP2iW1GokuoEpAnZjPfGYOq+fmIXlW36zuZkIGG3uIc
4oIuW1USToo30sVBU8f6lRlreWBFytZqGli6omAbW96UeX1F1njhl6r9lDjD54T8i904ZaexmkqP
nuwUwvS1agctrbyeLQQTemcfqxCAe59UW+mqh6p1PjHNlztDhaplK6Xm9TjDCmA1PtEE8MmzAArI
PVGfBhtu880e3GY7Lhy2htOdkhxRNxYom/9w2jZ2czQ7h4ByGeOmacQBxDTnM96rdFgY5cr7LMxf
6l4cdNS8KeK6oVQeU4OPWnUQJfdlx3EzbHMtektcd2+RlFEqfDWsnPduSL5UrXbK9Xj3tYz6t55c
O4i/ric/vMUv+Z/Uk+urvteTiHgNk47E/Gpw+Nn9gEMSGwNkc5Rj3+CF/9kEodSFUcO8gpnFN4j6
75sg3A9Aw8Qq8kU8YSL9/QcSDGvdb/3Qv1FPYlFGLsZ7sQrCe/lLu0EkAit+fozrAUl/GySG8cAM
bZ8UBYjZLIL8wolqUVt44dCTBk5oQ4k0aqMN7rEjktyvaA3xEMwfkMvXuz4hT6PQAG2Vdr5J+uoz
o1xNQ7zaE7ht22WvBIbSP7YY/O/mPBl3dmOH59ic7UPCVsWudcOvxNBcLPJpWdTr8XYS2itH17sK
j2GPvuGq0RONmV9JJSen/g6b2q3AXrw26bCP05EnclYQKYHU18tcNudRD7JwdsHX5vxUzpRuk6hX
SCAV4SZZ7QxOL79ohT4ROzOE0uuKZNjbACm8qOIg74w0YghdaNehjlRj6os1jdwt9kKDXVbx9ovM
mOMhM+NdeJQuOKS8xnBqSL3jJRPhdVLGx6nQ911DlCHbh5cuM+qTHUG5KruB8JIwuSuZoXIuAR9U
0cHYxlqD1PNuIQKQ4X2zccgS9JvYDjeqozxUS3vvNs2+QoV8sOrlphmxbxu2+2TU4nPZlFc1545H
htsR4uUNErwP0bDaVccmGGD/NZV5UHv3YjHOCfRWIXiwAPFeZeXHZMyOdiGfp6Rr/dlV3qfIYXtN
uSiz4ZNVuG9VIeoDpG/pJ0Xn4Cvhz4I1ggkKqXVnKcFLpnUrkcqVN86cPKYqHpgxhyaRFda0URwg
xDkJhd7S4toe2mfHnpCk6GSKRBKpXyRjv8pqpo8uAUcqqYyTY1PTqtOHko8+y3TyQOSgdvggUHDY
pNoCOu9vqhYopCrGZNMsPUiM7uNAzDLcd3MbGtqXCknvNp7i7liwqQix3G2jQgxbezJCfwGCxtvr
ExYatkzELeWNJ7XaCpjlHRSWgbvIyQkuoXY6TKXzPid2YKbtq1GtjxqMFxstaUHB2O071RjkZZUi
lXu/8qsizbZyQbURh1gDGxeVDc0FoM+SRI2S6JNQq30kywYQ92GH188NiLK/NoZwr1vFTTwV13bq
HBRFbnumciTujBeX79ma3X1Vj5R5s7hJc/tJuEQiFbRGo5HMay7PLtVoCEC+t0X3UWSwNEEXNx4t
lbtphcsKFiEjq7NiW6bVRdf7XavkD23UH9I6YllQkXCtt77U5xs9G/ZmD/BEjOvUepqu80zHxKpm
z3EL+c1GtW6rozgktTjrbn4luwo7v9F5DmtZv0xTHDo2I/UIvScVkCYPfSLPei/PWl49Z+DeqFLb
3iPv4wGP9RO92jUp3+YuTv+PvfPYrhvJuvSr9Oo5/gVvBj25uN7SimaCJZEUvA/Yp+8vWF1KkaWS
Ouc5zJQo8AK4ESfO2fvbMCrHRLN9KzKtZVMImqghziClA5hp5lRYNoFZypTfDHbwMAf8fnXVtbhJ
DZYefi7MsxE3drYkiHEXzM1bXRjmSp8z5ppEeqqAPAgUYOrrcVv9XkQPemBci8EgmDHuJgTbrblM
e1yx9OK/Ex97MGPqogjU/5jlBq81MrQ8fppt4y7g2O03HEL8WmQK9ljthh40AvKEU69RXOsKcHpt
dr/bXrcRM2r9uoAjrbf9dRN1m6DQ7/qoPam9Asu1cvdxg+AmcPLrjBxMwqGUfTRk97EloKWKcW9P
RCFJ6QxIVctPwEb7djGksArhws8qIPZiUBZIVsal0mTfAW/foe2lJa2RtWDEEaj4KHltKlwSJf4M
1R3mpemA08Etph6GUJm3goMjp5QQuDzoMCYCK6UXSOK88HYklqLTlS28voPn5f3arJo9IymUKRwo
/LrOJ06hdscRurTWlPSPeaNyWFS/1kAgNqMedb479Ge7y++ZAx9ncILShLAye3PdJOGqL91DXDXb
pA3EduYlQoRvQ1M31c3kaC+zVp2skDV79IwVzdwV8tQ3gdBXjPXXeQxXTsy3s5063zS0J1ziyyAl
rGEcJLhb3TqC1TSkL97zEmDiZeWuaF3jwrXSAj7M5NxVHaph03pLBQtlbNglEzVny5cbVtAcnzRj
ACHWesQCzeRkmcOXjPeWoTjYfGfANtXrMIG85rqx8LzazlxuOM98Ze9sMC1HHf3ZqVyphmFfXECG
oPotfdO0zWOcardA2UErzd695oinJI0CcpLQP7eCVyNzKg57IylwuvvNCNxx01BZ8vt9axJ8vgWj
xzaYaZIkWk9P3JjPTPAspJT1FXveaSBibDHA+BAe6keBKd6olHLl5d0rSQbkUTj1K4ymC6kMrR8o
QYosKThpld2BMpoiEtu8HjE4ks0gQZXBt6z2AxfmiaPyLato3StxuS67cDtZNeN11knSHBZkYtxO
JUfGWEmeQf++SNmkEeWoKgLwUAnO4znobzWLMCXOos5+VhzAtsgMWMQJKac0QsyJ+ttWtPbizSYy
hfx7yjnbZypyGZ0gQ3scHlUjztFoV99dBZIA4J+noVS0lVIzRQsL+2saWdaiCpVHte6C68YtTqzm
rReczD7aRLFpKRyyI3enitSrzwyAS8ApTawynEiA+M8rVfPq6PhPHf1uwZBOhf9eR5/eitfy5Zfu
C/mDP0ppHX2UhqFAxxbHxJA/+qFmNmXXFh0uK69qIpH60ZqllFZVHeqih9kWo9rHtEd4uT/yhv5O
GW1/GoNY6KkM3aE169q0jfFYfGzLOuA0XPy4ykWDKNWJmD3XnN+Cgfc2tTJ70RnqGinEupnYiTYq
C9qN1+TKte70CnuMUxbOTUh7xwV/MRnLrtWaB7o5zvRiKa6QdUO+0KVzP6mlm193500oBYet6Zkb
agyWIOn6H0U8rvpK8daNpj8WVaq+hDWUgFofq3UZYUIaOhgGvaQJiJK/a0jCACaH5rl6pw5I/sAM
SH8/FM4+SYjkGXAPWxF9jRZsQad33wgnUhe9JBpQW+PVBXLgAjuYJPUgd6wVMcL92ZVEhFyu37gY
jU0zgeiYJDmhSRmiEQmwMCbCPFyszQtdkhZmVAm6GNurpC0MDsMie+olmUHTHmKTnGxga+e4DqMl
WvLrZBaEoIF1mFQKT1KhL0SIvbTxsLZdekWmQALuSiqEI/kQpAvF++KdGSHpEfSX1FX7jpQgNHNY
uJIz0VfIjHgsyoWgn4lzh4cmrDR8EUOTk6SKtC8p8yW9okAeez0CtCgl2cKTjIvgHXeRznO8VpQl
rBWEzkTRJBKM0UhExvxOyxhH013SUoShkUTQkxYwloJbYGrVpk+SSl3xYhe7oun7Td5CtwhsxT1h
s2CML1iZUhYo1ilNLlgYQ54yuYRFrGVhw6I2gDBfkXr1lGJ7Icmv+q56eY64OTxmQUS4UTJdMrlM
RqyX0WwtmcmKywRSxM/lomo2bup7BScdpbd3jVx60Z5qhFTjz5HLss4abcqF2mvoh40WsZHmJPmi
cQd5yloIvWMbbvpBN0+9VSn7iaxzrcR2fWW951817Hv410bL8PUWXnCVZOLY1B5NeV60C95je93U
FsciE3KfUpZ0oZkUoyrpNvConzFsLoU6kugHe2U/jLLs6kM0y2bgnqH1rJXce9WV9mgn+XXZdfeB
YpzaykFUoCvVeVLiaadLUCjF3laxiOnMAcjdqWRcrlz3TSjjIc5QX5jOcYpKkHRJtKnHaWXTa+Mz
X9ypOFp5/jz3yoEw5mMe0amJOys4FS7N19yujHUXhbcAH0Niu7JdwykyrXlIbuTsqyFGgcCJc0EH
92tIECpGg/gy9iUxSAWDPkX0Oer32tfsbEfe88ptmq95g98baRIoje82LswOh0MDzhXLpK/2LfHH
unpTtcMyIh7PgZHtDaMPupL6WFCD0cy6dzP1wln6HmuXOy1Sr7SZHXn2PnDn71VNbTp3O4fsFyPP
V7YYDZ+I14OlpD64g6+RbXBC71dtiKIrsdyrNi1u3FJ/9VK+w3lmvAlvujHxky7JPzxNNQmeqelX
PGPUIwBykNwgk/H7WcXMFeQvOM7vBvk+ammya7roai45R1CRQQracR7aOnmJnYHLZ5Z6nRfjeaon
X0dQVQTdUnGhIszKhlyhrYNiIa8I5GrHtWJJIZIev9iYuzIFIyrMmjRyMEiVl6JS3VWhlhvw5Mg+
uvBK5yAQ9+F2xH2BI/XI4GY9ZTGNNZ3s+NGv+YrAsvCDRluanuoHIntrsrcy6G5GfFCJq24nBkrx
UDxatO7bGWa2yTVE45uBfmFYdNsKm6LSous43pijd5cls05EIQiVEhdKbja+F3i8gQGluaOuXS//
PjH0ZYVbM9ny28hd2i5wn7CNdoYGsGFuHlVN7GfLvbXt6tGN2puQxM0ufy2m6q1WibqBd7BwjHhN
TsK6DaYl8ZB4lCfioKJrgwiEsjdu9ICJnSIWeqMuOKstKlXdKl6/dVtlrUbZbWKVR2Fp9w2/qUM6
EAGr1SpQENyr3Zqv4rn13LVmtHsjmLhgvQorbthYtMuyDgpA7vrL0JWP/FOM8iC5Ta1Z+XyTyFiI
Bh8w/Ne2aP0CbzDhCzuKO/SwDqnDTUqEDptEVAW1z/guXXS2s9FF/5B3xbMAPDVVzo4pLAgHAFCl
aLYF9hEVR/FitjwEZP3j0KgPZUMjRdHoTI/rOOi4d94qLASFvsXb6cCu669BHR8qRF+4Cm+z2Nm6
Y3AJjHlXmPm+D7RTVCLYKDoymrLpimwGmrzDohrc66TBy6ONT5WNmK9B2aF77n3Q2Ljv2kvRWjfd
GKrYn9vbzrKWfcVohT7EorCyY2aF4MJrdTEwc2zkQjWXj1MqDnpjbSrYl50Y/MQY/HaQRU9B67m4
b6ppr+nlQdHN6KIEavANJEl2i4V49Gdd7BuGd/MwcF5N2XiSVyY494nI6Q6jXFt4nBlMdLE6+Lyk
pLcRa692riwKUT+mTbQj5OjCegsKo0k3GrYEa5aql8xJ/VnVniKrrdaekd7ljYCbP6ab1NCuktRN
gBpVkopprFGXbwOagIOu5Kt4Lv0eUbcTDqQrT/oyzRDKRcUVg6hNEow0wKbXSkEE3CZfRUP5zf7H
N6Blbtc7q64LVw1WeZ9xGa1tTJoZm8RIm61X3Ne+t9aQ5+mNOOtYHVdFid8LChCn+nFej3lxmER4
aIR1xzwY8TbH0wLTvMDqpET4wcnv5V2nFw/MtdHKXaaI06wMT21TvaDsQ9OIaSPIxlNvMvTIVba/
n0raXwjiP+k63itE4MUkjxPq4MH4+FghiqFpmi4ulIuaM5xMF2V6o9Dk//1FPnZzEbxQhqLE0TTV
gBllSC/gz+oA5uqqjbRBuYzut4YBX/c0lkCUljlkld9f6VcF789Xkr/JT7qfMignbQ64kk6ApTkt
KofgyXlX2l+S7jkubf/3l/vl3ePbhJUABQ8z7Y+X0+m5uUFWhle98iy6Q00qefby+0v86hNRLVMs
S3c3bfGPlwhsgGMeFNorUhbpS3fTtMoihjPhJiZBQRd/iCv7xScyNRlBiiUc/6X96cQgZ9z6pIr4
ChoqJi5QLQDZ0z98pk9iJfk+fLjIJyFiGyjCsgMukmD6Fs0RK/Hy93ftTx9D/vlP70EvZloHIN+u
mOnbSFZTSAzoA35/kU8qzv/4GJ8eTZVOadXnbXw1KsYCya8Xk4sMCcF5ItnapknYtX+44q8+FtoS
5jIWIbYYdT5+rDTGkF4wZbhy6usayEOV7Zzg++8/1a+uAeEKG67Be0AT/uM1AstQbLdvkquijeCJ
Q5HDIZfd//4iv7p1ZF1B3ibyAxfwp4uUQ+Q4cUwUZVM9FfYx4qSYsBh4xF13B5Nh/xBc//6K8p36
SRH4/rB+vuKnh8VcBDG8NqGhGZFJtg+4jP+wGGgf75ylYp/SHBMzA04qGBufdcNtaYKfGrX8Kjk2
O3JH/e4E5nFlXUc3lk8m65r28vr3n+rjJd9XVhbuv+7jp/UOdVQ+4jtMrnob9SvsZ50AAb3c/v4q
v753JreEndOyrU9Py54B4gskvldB7fk6cglX/OHeybv/+emgbeNtw3Mt3dcfX7oK8DAKMmjXDkff
ydWpNp9jk+5akvzhs/zqjv18pU8LHKristEcO7nSrLfIvbaC23r+w/L260tAHtI83HSq8+lVi7W0
d805TK+K4mIhOx1jfaF39h+2ul99hXjZflzl06NPmz4SU8hV4vQlU1D5K6vGXFtp56fiSkk3mfWH
Z/QfHwsSnePgeIZsTVC1+alUIIXGqXKnzK5Ev6mb58Fe1fPN33zRPl2CXtrPy3bRh9zQqM6uhrlY
aApRG8n/48n8/wplAZDITyH1kFgBPfpsHy+RjGOuZJy0rtrsRZkxZMd/eC7/8SpzAeKuSGWxaLwh
+v14AZZOZ9CKOb+izss7RI3JLsanxnjy/V79o24wuWP/vSt7K74WpCJ97VpasOzgYtq9/p///S8w
hfzJH21ZgOuwG/G7vmfqSHn6j7YsBDP+iDiPf+FyWGz+7XV1/wd0Hws4fhaUsXy5/lI4OEB2gLd7
LIPko0md7d9ozQIf5TX4a8WTillsUPwKuD9MAvfUT6+J4ipG2pC6cemY780nLO94UjVTlRk1Is+u
HNr5eO8z62wxGqHn/2ICCls1ek7weFZCG8uPtd48ZVO5z9riJiaOQchcBiMJTq5lnRALQXIguiE0
+nCJvpRddnggYevNi2ndlcRqD3Kwf20RAYHgKaGFQfQF0dbk7XQLxr7JCRCYdHvinTD6QvumA1Yc
kdFm6yHsXW2nwnCM9yQtC3zjmsIZRu1JZFzklZHYDLJVRu92X+2c2Mk3tePt7QyBxZ1BsjoM9nxI
OtK/wI8dmyRun5IhKJZdb+Q64SCkd/iiSw4OrlccuB56gBWmT2UJS7ZJtqSZMeyom1CtVzm1EnOn
YfzW2TnNJTLJncrqfAFXzUXWtEHG9rUKymDpDPV4nbjZsDa6kgQutablx6gI9gFrGe6xiGldGfT3
uhp8UZp5Jxzlpie/ueiHnTkVy14Rx3GwLl5vTwu3sv0m02+mNv7KjAqvlaMgm+hOnVMASqPdQ4MN
Qqan3fSdsrM1fVUE9dkNq++6Aa9YGbZaLPaDnW/DoD6S8HjO9fHclc03dWpvwPNv9cS+TxloRZhD
AtTVdtSDnMiq26ya8XjFIDnVzWC1N42gUzYOu8Q2H3IHEJvnfvXcdp8lA4PM3NDB9XwvtHJlZvYZ
EeJqAApJNDyd0PYUxO0V2sKnpp2XsuVWMZEqnOg8lzndxWnhWQzpWnPbjvrDPJSnnn4V0+0zz9Kv
kmHtRdE5Ccpza3iH2bDW9PL3iZVssJw848hZwyQ9VYb4FpYc0uWjDx0yphvwJ7m2QWJx1PpWLDpP
PXd6tJzq5NzY+nU9DT5j6HsrMnZZIp9wR65Smu9ajdxOWiFeUL95Zuv3RfZAK+eeZLQbESnroLKO
humu9S4/q0mf4QnUjoM5fuv5Jegla8CgtWPQoxFwNJQr4hg6GnLm8TCM0a5skcK4U/PWOPpN7403
zYTLLgh769qxmk1sD9HZDszTZOn5pUFfvcvTrIZLp5fAhCRccGGN9YUD73HQeKU64J1Z3yp4+YZq
WbXe6xSOZxpESzM3jkStX481GVRjFS/7LHOWRl0/k/3B62fYDCyDDYyJaa0YwfPcZKcBzMWa9Lu7
lEmxoRgIWkzRrnRi+Whd0rcwcprmStSMftUrxUqPtBNqyBsTKa2P5Bmn4cgTB/R2lVTKpkX1TfVY
ItdJFZhVTrJGDnsSSbeBH+pbgLlxSncr3g6elq6Lhde1V+C1J78wMWQbM+F5U3vI8vhiBunRqCVD
WsYQ1edKx7E31PlLZeY8jFlZ6gMd4SSgnRYL+9rK3F0pEoP4LQDXhUzgCeYRYkvSIX3UKTQjePZJ
XB0JbQWOIRQfrt6joJOxgHvS+0o+nzvNOI1p/GobMEcUV9/Sn0KVE6MURix1Yxf6F0FTWbHCrat0
2Tpj2uOr8XCyGGhBzmYFoByofK8CYK/XQbdgZFOvk246lrWGDd+IL1gd73u7I7g5Gu9CG3aNlD4V
CmZeN73A9dH8qCZwkZgIuD9Eanhx5C0Y1Q7HmTnDIbLwEf+z9/9rImv8bu8/4Rl9+c9tX+eH/r3t
v2OdXVoyMh2LwSt/9PO2bzmQL3QcTHLo+mPbB+vMqQOjp4UERHozf+z678BnGaZuEJvi6ipREn9j
15eU04+bvgmEnhpCI6sSt847nOKntkRd1uhooyS6qjumFtv6HZ5sORcNKm8jRfiSrEyIyQB/p6uA
3+L8kPzlCY9fs3bVXBO3wzujeXDbLSRiI/jKkpioq4HgYYUvpEkCi8ZgjAA9vHfhlZkWMF4WtRlV
oGo6tIQESlpzhloNWQF2cawRBq6ZCQkUzV4UgsBups6ZMaLGIC+dd8hnlljKwhjZgLd12HgJCQ8t
qqp6yJpL+I4I7Qx4kasQgCruA9fGNSEholbsic0/r/77qy9P1f+97H0iMOc/33z5M/9+85H00uQg
fVcjFdIzP7z5+v8g9oWMRv0qsWofCl6ovJxTLExgGm05TpF/UdXozai2i00ZFa4E/f6NVx/V7ud3
nxamjRMNNjDGahAvH89FAnNzAURlvIDQxQvlEswVNHdCh0CU6JNYzlpRgjjSsosu8vy2BQmyxVfW
bTsaury6tNQxLAheZeNsOKa6Elk++pOTvBnwIX1B3+wQ1f03rxuqu3Iq21VaZ+MVLmtsWnnh+B4O
nDuz7XHOEnYkCm/ZAwa85GFNu2kgwU0LnWLTsXKsQuYtS6Ld7vMZkFeWGd0mIY2DqnJnTO5dWHfN
ejQTfUl1G1+yeMx90/aeQf4OW29wvxSzHt/XJrVSpE/FWuCF8JW0GBGzZhjzNTdYj6rwtnUJGioc
dIauuZdvhwpCWhYagGMKcIRh6DyWEBKl7x35cpcfO4S3qac8DRbiZVF2YCKtBPVhtVc7c5U6IcP6
sN+njXJAoPaFu3kqS8S8hLkjb0DMxj4bPVu9+XW0Pc4AQ/lAeMhDYxUwqaJwoM6Jb4XJ6MPIFHth
FJrj22G4Tee+3ip2/kauW8Zc2N7bDbs70Skd1WGSrAU77DoKBpWp0vzEgyZZ165uSyU4myB/3Rmo
S4Cq0ayM12Bqr5S26I+py9y0ISkCBJ57NmYGj3Mwn62SRyqqcUkFiHrU+Ea1TN2ZvihBhUQ0ivZp
Nl5sxrXoEBnkanJ8rwz6zqJtijxqxLIXehcSHiHQ5SaTWPtYjrm7Kh0jWFha9FSF87VpmgcUoRHQ
4ZmG4DtKATEiyKs6dS8GEg7jm8oRcdo5AkU3RJmD8h6S02hNuMwsxHSRY70pREzEnWvSrZjW77jR
wCNvR+2zfS8TeByZxQMj5siug5ee8Dni66C4hZLnNgF2c2vK2Vay3hrLYiLtEtBuAoKr9cokOQQ2
XJyTZliCi1MlN47DIjdZsuSUCapcKPlyA19wX+VNNcLqJpMMuj42d+SutECM4dMVklRHGYjBHCdY
Iyl2RB/kSz0Y/FkS7gxQd9Okb2PJvkst664BhqdLKp4DHg+P6RmxCaHypmUvcsnQc4DpMfWG0CYm
pOcupL1KMvfGxrztJYUvENaROovKShL6SO3YN/Cn9xrwPpxouP7KmKcE1y8zHlstuChDiP0E6xjp
zRvxzgL08mYDA4JtEVCLCy8wghvokpgNst6jNHaApqB7qKJ2PzpDtUsVx11msaZdoKgYywBD9A2i
uHBfmAzyGdSc+1ohacazV/rkzYhjORsYFGzYUMbrSWOaOtVVuq+n2QVWqAdbtRbmyqWvu5nCwFuq
St3uqro4hJHKDD/sjH1rh/O+TjRlY5a1uirr6tpW0DvO6bRX1PCxUnLjSk9i1A9Jke4U4p/9KK32
CiPVcAwDtKHVU43I4Htb5NJN2ZnXTpK8zWiJCEbwDETR/+yf7/un3Lr++/55Wxblr0wx8qd+7KAy
NswBkIZHXw6/fm4ZGf/DCJOGEvhievuyQvyrZeRi+mDHdTQTGPnHHZQOCDvnv4SBRIr9nR3UdD9W
j7LZT4lKeBmZz2zKVLIfd1COdxnSuQTdjGE10dpyOX2x33YvTULcqZmOC1XS9pQAI2mieV8CwUgl
QKa9JF7wG02lW4xs3kJX9SVHdHgvgPw6Rd21gP1SSfhrJOuPvhO8KACAzNWfBwckYMvB7UD2xI7c
It+Y44tBynsORRBT5EJrmFB3EjDYT3O5gOG2LWAPzpDfHViEYrAJOIdOmEpMYRYPN7ohnjwJMETK
fE0ws7YoAV0oEnIYSNwhFoR1GNiHLHnMACIOkoxIN+GmlazEpm59LbcOTMIzotzBe0iuolqZl0iS
FlWQizPoxb7oDm4bvFYelBjdftYlo9HkJA3RPEBjDL8x1NlGATq2kuzYTOW0GIA9zm3zJQb+SAAH
naTKqDFxZPeQ1l47SYosQUamqXuaJENS4zMEQCXjufraSspkH6TxapDkyUiHQVkAowxGRPKNm9/D
c7+03fCcS25lCsBydOuNeCdaUpws6KatXWCXdUAonI4gUaLKugEe5jR7XxLbW3eDdRoQAauSnNmC
0CwkS7MHqukC1xwkZXMAtxlHaJwA7CeL2ku/1JLJmabi0QLSOdg101aJ7QTfiaI1PEZpePYiM1oW
ID455wsfLdK2DZB9tWBAdXCgIO9i33WER5+qq1bQp1+L0LkNg2kDKW3ELpPvJ5lk1BnK20i00QzC
307EA/9vW8jsI7N32XplHlKUCIaKMiGJqCT2ZJmb5Dn50qYiXUYyU8khXCnX6m3iNBu7x1ckZP4S
f/GkdfWqKilgVJnR1BPWpBHalBDeZE7axgsBQ1fEOrUgYXxRlpDCiXzqZPYTMbZrU6ZBIeBeTbIj
R4fX9VMio6r37CiZIqUTJ6UTK5VaJlQbcGQp0ngzHfaJTKCKmuncEEmlEk0lZkvQaZAa2C4sm4eo
EJKkLTWytpTL6si6kM66UkarVl59075ra/G9rgVq25ToGzaX4Hsajm+BxRAyIhW5kMIOpxi/tHbz
TaQgoKqyvHZCb4MY41pjzOu6ueVTWy+rEaS34fQQoFSOhJY4a+Dy+HDVqnZoQBpjsi3FiMQqIPnC
y5wZxVyb+6BjlqIcUeJPFH/6sh7HZzdwIaFO9zxouGGJspti5VjUKM1TZVfQ/LEpLsIkW3pKsIXw
BAEOVcDo4loz571RiQetbmhOkomu5+O6B0OFdYN4grhGl59CyBudzQBtF78OD+SLaJLNNHbrzkUc
lHdQdvGy0cpdTjDnoth7zBMkKG0THXuA8cu5jj00NEj75xTAQK3CkvBe2sHkSzD50+jIDGZvaVTT
yeyS3dDQbs51tYHKM/BsLTrQnB7aBjt+f0lGRK6JeafGIQTSqTnOKX1S0ypWJs5z/CUckgnmWWup
emt1wVttUwXTztkJmOZ+6/RbjgeYeWoQ7kaOp37uDxFArCS2ZDuy9yOzOw1OcSD7GmQwdh0zdJ84
OaCndLcdZoZmUjee013Fdv+g6tVOasFQPzorcFysf2PBqcgub4zOE348NxdThTMYJtuMBZCg7nNg
z3ccGBa1Lq4DvdtjXucIbqHTJBRqnvW1bTf0BLVdWcLwavGxsQoba88SB1Iy1i5pH743KViQ1G9Z
0OpSGvuM9RzLOLjMneaEV1qBZCYMr7EBHekE9P484+2ygcep9LCIRCIMuQqTFfZgDwCfRURrNF5x
VlinaNLoynw39Hld5DAebYIkCB1cA+kCq6ag6RXVlXDc+zHuIj+3aNCPueWtxkTPHlNke8uw6r8n
bXeIRhWzSrFD6XyMvLZfdE1806FT1OPmuxVOSLK06gzVbl0n832qodW2SMBiBV61hXXdKAHEZ9V7
UuzmYazp6uZRtWi7HENH5fpCiw56ShbhKE9e4cEUNBYDc9ox2wYyrAX1JI8Mbfqlz5QhXWpKQXN4
Rgbnju4qU+Odbkl885DPy7GMXs3e6JYTMuxl22hfPez0WgPMinIhXIa6RkWMTCcw6u+O6FEyi/RE
pBbL5TQWSxR9D2WiY/nWb2jUDJjuzMUYtS8WOQlC9fbE9V1ae9zNWML8xtGkaK+4HyflC9OduyzG
KkWc17Ki6qVnPVz6FICUObu3M6L2ZdYl3XWD62hlZQ6IgEINFnbQc2rONaOP/kA5ehc7fZhoOTbW
TXkmopcgJSofy5O2ZtI1eYZ30W7zxSMJ71e1j9re977e3bSnch+vSl9s4yPxUctoCxiPSMktmeT/
NIj+Nd2UHpHfFLgEhhy7uP1fl2+wF37RK5I//u9K9z2oWuc5ebpKd8ekFfpTl5ThiIr/BNyvQZfy
r0rXwuPNz/zgAPNT/+4VwQimgQq/V2oDbDqbf6vS/dwpwkTj4j00df495DSfVAAN5W2LPC28gMHA
VIL0/U8ywc/AInhZjP7BGlvodDTHfTfA/6w0yLVS9apsGs9h6uyKqGOj0fWkWTv5eBoN0vHQPU3t
Zp76ZGUrFXWxBhrvVge5UC5dZgonp3G8loyOoD51DfQUP+8Muz7ZtoIO1Gw7NkUVDO68akmJL6tB
rbYpPoVVo+ARHIkr2RDWpq8GdJObJiK7rS2HZGPYFcf73r5KnEIq73JsCGXI3AkMub4KmZUosJOG
ubyFxhd9zxPRrw0tDubEd1tVWXnZZOo0XzL+a6VVJnTayMxV41Zgu0n8qh7razHyW8Ro4mdSWel/
RI9GpbHsRkDfMwVmsJfujL7e9I59HDob9bZQzsRIfbFS46722tsmnY9h0X+xLUpX18bWl8bmsW7M
VWjWxwjFg4YwZaehLMWLZx/AfBBLSoVE7ikuI9ipKp6MuZz2wI2eqiRBs52xG6tlfWliO9l6RQTd
Rf0W2eAEowrHhknvBfei9hZlJSpnyE9TCTuRnAFi5tiQ12IcKbmNYD5AATn0gbIZIX4IJQ43DNEb
LJIE7c4USUN8ygfLWAWGCdsSn+k8NztQMzeRVWebhAV2ic5/10CZQeau7Yp2bFAA57dlIw4RQ9aF
gsr+ZepTXOhNOMBGpO8BtmUxavhDyY+hPCzQtga7sao5bJA3DvxNophdn6YUHaAwsW4tk8aJMYJn
aQtGVkXg6cs8MIWvTuJU273ih16z69Nx2pSZ+mba3SsHH3fTZHZ+MDymVosoteLrqnDzpTaaMRzq
FJ20Q6SYh7l3w4nghWpzN9vKWWjOPaPRTRYBB2K4icnU9TtDO865e90XBbRJfZk0wQr4q5/bQ7od
Mn3jDoI60eDGW4W0lvYP2szppbLCJfz4Z7qup1IVBkSQcW9l6tXMP9prxSmnlppNMh8r5aveam+K
Mu5Kcz4aAYZc58sYPJfuvHdysP8WVqzGse7rWVtEPSPajk6NgEBi5unRwt0dBonmA+ZGTpB6T1mo
P0l5xrIZtKNnFiGtrwtTCvxCkR/NHeemuV47kXLnju29CRJnDNNxaUUMQvpKWqkYz+Z9fCDobMde
RsOx175USnRHfX1P3uYCV/LakRN6Z9zXnrIfiTyGj2zT5PE2mc0g0nXapVFq3c7sTHFjDsmez3ew
EvXZ6NBHTEaGxr3kfK4bFXHI5phuRyXXn8rBdR5bt+ScO05TcJ+LIL0ZAwfr0ZhpKxPXF95UES1r
JUUZL5OwEXjBTNIJ9hz4WlAUW/G5M6U1O2t6MMUdtle+YezKVIWewPFWB+63GUYXRbn9RWl1e9W3
9jnAvrCi/dovhOm1vMzkFvdTlx0IQwv9ULduhIoC06ihWYZ4zhbQCmkgT7d5lQ4L7GLMtas2XKee
+WjbtwlPfll3CmqBsS32rpHZp4AIy9U4UxAjKflmotujNp0ivnIez8i6UzFkcB8nzLRTeExybcbS
ElynovwGxslPgmTpJtBhEY3cBjZP2aieyfEjdCnZ9on4ji7wArc9oTWAPN0Ysic96daR7TyXlLQd
AN6FqdUyNgqtlWgLd5HITLTAWk4E9CWZs0pq/ZXT97ipYCckRf/UG8HGMgXIoLh7RgayrhoeczqQ
1eI8aEX7xeqKB0srOS6Mye2YTcfCG7aiJuVTGZKHMJp28cBXdBxPPaGAYKaxqWf2jRDzxWrtJyjA
5zIxfdfsHwZaNdpADeTM/fr/sncey5EjWdN9lf8FUBYAAmqbiVRMJrWsDYwSWms8/X+C9VV3tRqz
3vdizMZ6hs0qMhG44df9+CBxM0yiWfPb2BR2+p2LDrbhxN7JhFjWlNVI6258CNsp2kQm/tvEsm/B
b/ETzHS6vgvnrh7is85kZ0f64Jk3wbEOSsADcXEVA6Hal0n4aBEsgfnW7C3mUY4bX+unk1nwt88j
5xxq2R6o6RkAq2evQvIhJlGxzwbcvE9zSitasp25kb7gVPKtMd732TKuCPm9kD0+42ftxws93J7h
ncl+vm4rwR9TttDPtX1j2d8DUR2GOVP4uNsAQiya27JtJy6VeRxdCTl9BmK0AFMX34XEAGAQWves
DAWkvsuLbsGkUe5JhNZ7QkjzOX2UfmIY59wFvtu0xovGRFc3yo7bBnyTUsrxiuQI19iGTtzUbZ4K
EQFFFu6l8EikjkVdH1vuONiCoJRbtv0WZ1ru46LWnsbK5vPCqmcDVC5YmTLO3smsOr5h5pHtj9D7
IeH9S6M1I4jykhlIihaCw1+s9npq6Ug/gXaRwM5NH1LvVVo/ZuF/NDuqkfv3kVxNOX/8FsrY+8u+
eeZTbKc930JQXGg7l311ief6lzHz6se/7ddKhT/u9X5+DzogmA3Zq5t/UiVhc8yoinF4KYguus7l
gkVquiNw+r+/zR/9cj++DeIq+TbThk0k0G1//auEZUJwMx3Cyz7H+IU61xo8h/V9L6/GQV/ZbQMb
7kc45j+LpcEH4Z+vEie08r/umtXX/HZ/cL4R48HcivKNKVxZKX7eH7hacAFk1UwbCC1eFh+X35Vy
B3AszkpgpQ46Or/Cn/cH5xvZeUZ+vJoefSL6vzNXeuoz9/vnXpkrAZLatJiw8OZG6vzpM9kuvOh7
q7cvAJss5zU94BUJRzeqpa9N4bAomkMPU05Dz8wY5ynRJLSd43Tq4+QrpCqyE/QlgWHKCPke4Rqy
hiaJHPYyIboHK4mt2TJa8FtG7FLh49iDUQRsEkoooqmjedWhxeNWoSFZ9oQU6YCWi7Qy3GIj09b9
VDwagigqbIB9VzjsANuB5fYALh2vVk7uRmu3QS/uksI4NYVNQ0dOkcMsboqZvaLOyLditQuoMz8W
dXCuj9PDDL6aWhAG16rKGb8OWR6SUAyZfJiq43XqMJxmLMtWsUsarQ8WEPDTgmPQu9LF0MPINIHX
tOmqmvCSkXCo/DF3zxoScsbUTX7cD0/dZIGMC7NjHgteJeV8hdQ0b0d7gP7es+gOhrqjfnSZ/LQj
kQhsfNnMVkPeWBgb6h9mnxIDgK/u8K7J6Qj5D7Ic0w/1h/r7NFXlurfaLcUo+5iJHK0iO09co1rH
TfPQW0Bskno8Zzbo10M8GEwI5i1Xqm3t9MY2SAMMXTlzQBNUB/IYvGhleZEY5U1dj2sc7McYiSSa
kHoGt2ZcrjcMQq9yZs3eRIOPRgsyKvWzSGrroQrPZMBlqXIh4QULb6luSlZNVqZbd3ZgoJrdKdcW
HflLVRNQ1cHF57EvAKnDBoK+N5uxr9nhFdYZ8PUIe3rdnSl366oWzWNYKq5Iah3nWb/twmljT9mA
Q0/H35rccMM6jy3TTx3YUzbNWpAeeaFWEjG2SYNoLSbvSlilw9hnfpSZ3u71qmzXVlFeWHrR7SKu
RYWZ3hPpeMiTmj1LfalFFcFXD21WZvh43CyB/Zo/jKxOVQlNL8xnUWG0dBJrN4zZ7ZRa3HHV20Ol
oyOXmNPcJjBMhREdq4oksuktlLOP42PBxop3dPc4BeODLlu8FlxIKIPfFZF3mbQW1j7C+VYHrJFR
Ce7suO6dtKIwT6eHBxai2fW3QbKQQqRikgRuyAgkw33d1Te9vTyT7f5eW21MI8KcMC/F9SYZpL6W
or8fYpLPekqXTGlHTOTlmXC8F5rFuNOGtUFbln5LomobN/KuasVOM8urkQU1XkHzlteN67uRAGk6
aRcYkk+xU2lrM423U5xBesAXUujzSx4u0z6dw30/NBJCjutRvJUWvpln5bbrCowPrJjwAwMUmxb3
6IkZRK5OPFQszXlsAw0b4VQGRsZa2eMPbGvjNmvnS12XJLkjyJgNxknHuSe1HJ2hI2YbW58+0ti7
SSRAONtkPNGzCQTsMn+OQ07R/UB7RxDSB2qAAVlXbUc9iQOyP8j6Wyj8fHRoXFphz4bbW8UzKfLS
Wssy2rOBeLGjrth0tirZs71Tb9UnbNwwhSbTLycq6egL4wMF/3SBg9rAQw3LeM+e77n4AqVG9cFR
6NQKhqpQMFWXrlCfrAvhckMewo4SIxzntK4YyYnr6dkMYmeGzoo9iNhycMyz5BB19W0Q1Z+dwrkC
Iz6f4buiudxVCvhqznO9YpSzjx7nImcj6WWYbhtHoWITmLGFgsc6CiObtdg7FFh2VIjZeBgfPAWd
7UuNZ1qBaIs4fZ7MzuRxnLapgtVSVU9j4GTAD4Zka4wfowLbYtWIN8Usj5GdP08zP1HdI5PNdZhy
mfKhUUsms9UeDPhLUQgBdk4dIs8mwe+2fPMMiVdXfA46H4aqsO+qhl8YPHzTt7Ku5Ygo6m2dO1cD
iOrQDHRQp6NGz9NwAd/ghr8qOJTocsklcR6pqgEGzVgtYJvBL7JrcsWhL1OgC8CVDnJElKqCp8ih
T6TJ4o8cky1ejxHaPSGafZsO99wgljU50mWlei0whXwNB/9NSQYDyj9PSRcfw8v7y9/MSXzVzznJ
UJgf4tXAfxhblSz625yEXY9FviBlK02XMeWXOcn7RmYFkwHVBaqyWccp93NOAgMvkGAV1B2ukGH9
G5nVNNXM/IcxyQGhogZ3BiC+oRrIfp2pqTepTCuI50uujebsYJcKZk5EusynhW4GMXMh94zi3F2y
G3eWr3OVaWuH991qjDJc2HGLE4jVcJt6l6bgSZo0+xVg5ynrvYdlqe/NsfgkQL+tNbuigNd5zqq8
grtnG9yGl50w8nPy+iwDg8FbpYt5MQqWvpkt5KrmSmSH9rI1QXaqtQz9XUC0SsN6SjPKBeflVQto
aEMW2o91f5/G3VXjyYvYDfQdIvVtnk40fE3hRTB0Z+U4sLTU2qPuYi+fCli0U8nfefETOsDoXj70
LvAwG+x8YhXbItIe+ypmXWOtSAtdZPTrLHAl/cKBzRkULanysfd5A21rFzaR2fG4Sf2dd/5lm+r2
Kozr+XbhfhkPAe1CVQvHcaJrJDHjNTh5PE2FRrG1Zj3nC2VImNkccNgiO3PK2PPrUW8ZVPH+OyW6
yDj4mVRtTjN9sCPOJVPnaIchslka64Fjl21ryIvtlu0ilqpVb5VMdxNLrOVeH0ekYZhFNWVXdSei
TYZk3FxMbBYxGUdhJv2gXHImz/jctYdN2s47kU37ZRzsTQ9gZZWE4W4SLA8d1aYdWPq9dDATg+f5
qLC6ZaL1VgSuvy+Sjlzi4+MqCvr7rii+x9lHE1hnGL7KlSXbw9z3VOCBiLeTYl8ayNV4oSyGsOHk
qd7ndDaPUSQeZ2mf5VWVsiacX+CF1vcyhyuSyxtdH7BljAeMzLspSQJGxICRNQ72pJWBbdbmce4p
0vI0sByzBgwPhfNBG+DV2LW2HT0D/Xlg2OYV7QbjYfGsdCXKik1wWPge+Z71UFe7OIagKJzlqjAC
skIwHjR05qbpH5Yse8ws47M0+ZnhenkSbkk3XHoPLuQ5zJurKeJonjpElGJ5apsCxwLv2mBKnDWM
/U0xdWd5TzWekSxPA0CcQq9fujnekEo7MtL4elw92/HY+QEi1zoVRY3Yl931srmPWpa9VS9b/mjp
EWLVplq4YHTOc+3V3arp7VNTOTdLxILcBBMOkAioHyClvv9uueGNwZTi6MUlkIbLqRIez9hiMFsz
+Nd2wUJ8uDBMVL7iPWVw6wcKpdox2JUxtk4vkwxp1sz22vJdQbDFo3iN790+LRQ6rdHsXvIAarUl
UjTsFlw8Yi3TyXxHszYWwTJDjGqcu6IIjwBHnhc3OmXedG0aREZEipJUe+9BLvZUqfMxAuQ60APZ
t4Fi1EybIDE+rERWPFD6HR/jJ6fDvK6TOupiQCee+e4t6NqJRp94AAw0b3W5ZiyiHy9AXs9sIhlu
1+grK52yKyI9N2nKuRLNFT1aA9U8+ayP28L2XqegeyHRcxWwvuDCYAU+CxxuFXPtbZrEOlZuK68W
EyTiXEbFNbed5LYq9LdgNllFpMv9Upbn5hK+6oUOq7if93ngaRvsEBcR3fKrFsPids5cRPe0+ygr
NkS9Q+iuSSuFfqqpU6WmYEUGkbCOleGKkpgVdOfYGfpZ3OuHKOpumhAXjBjNg73Ii6nXjmXO3zJO
ax8ooUAF16RPONhPopz8lyN/iDH/vfJV1/c/v/Jv2bH68Uf4N+qI+sKfb33d/iZcXWALxHLPcpH3
92/qiPON161LrZj1f3vS39QRHIb83w1YQQLOlfDQVH6+9Q3MhzjnSaXCAUFc+VfqCKnVP732FZ+b
InXmASk9nUT3H1/7cZJEbQTV96SDoo7w4dVdSPjDttKzPM7HipfzsDjNsJKiMoDeFxRp9sQnw6gI
z02UDDCVqqoC97GovydOputXvLEg3yQDz9OqHQrvMi+75Sw0+yw+1N1s3CEnadZBb0WjQbPFD5IH
ZnCWzja0ZCNlYXUbOxwyxyVcsvbNK0J7PGHooWcIfPZusIvsg0eN610RAx/tpdsnO5Fgm/Nq3Dc3
XT13B5kZrbai+SFdNoGYe15JDoeUU0fiaNCcQI8Ea5x1UdBQHk0wzZq66Ta9mOOj1c3yPAiWCrMh
CCzix1xaV7IOGFMciWSQsiS+igzrhc60704avhG1zDeEirBW2dZH1eUfNqWfUAzzWr4DOlrTLLs2
6nA8FIuwtl2q9d9HJprVYIg4Xo8pTYAAp9lhxp37qGtx5Xuk+t4m/EF7yg6MQwSZ9FxLjXyf6o1z
4dQ9TpCqqndSeRGbgYhArkIFllvRFtbgWvNgofLLrXybXSME7QBtKz+6vQeHImgcQovWckglF32K
ZtHm8bTh1cpXTaigu7ObrMu2J7tKU2jleh+uZGfoDss+0xnwktjezcGI+60l7RYGXIEhPj1JwFd+
Oi6UDtL/Su3pxAZvQmZvxovUJNBHFdvEQtqa/MYCxJhQ+3dJKXx6q7GGvaHUtvhIhGzO8jouHrnQ
N2s8Q+DDhuSHQ+W/U0vdK/751LpsXiiH/puLyq+GEARYpc0iBRAgAuX/y5HlfmN0tQzuJMTGibH8
Luia37Ax2Yit0E9/lEj9dmSZKn1v8x/+tcpM/a+sz393ZOG+hg2CK8UAGfNljf5lkVHb+gy9XQQn
0tQ0gCxZ6hEJ4onWplocC6el60NTT7xMorM4mJ/dUF8g9idv5kB7JJ+00dmj9ebDpjbJ7IqqrrCe
xZiekYDLh7Ah0b2G4tqGq4KhACRibBuMmmbzIqkS/eh6ETRbo7AYo1uevgKKdcFUt41QjGuySC2J
1ayR9Mk0JAzOUAc9yuoRar76mtO4guKdqBrnqWk+NUr+mERQR6w4GFYRrc+BSyDVVhqcZpL1ACGJ
92UOEaPpi856/bKiP7q1xGlZxmvdXM4j+qWBfpzLMsNuER0mTCBry27YaeuUUuMBJNHayui8kvZO
VNpVwqRyUwXusVOl1raqtw69llKQtqQcGa/bZrZZ2zaVlvicNZdT115q6eSuxlBS6yO585TluIFw
bnsMVJ2GJGvOzWdqdreYUW+pXsajOmRdcaXVIA1Mid5VV9uwsqMnqqzWDodSwFoRmBluCbOMPp02
TNZG5YQkmMlcePAAZjO/1Wxr3FYuM61T4/trGvrCalWnDbJ2QoIlKOzYvqEX0eUQjlwCqgRgAaJx
N2nljc1a0bNB1omZnbbHeVYZpJdj7cQKdTvYhHfnvpL3LRZTBi/goExjW5FBz+F6uqY3m6qEyqme
raAnvKNrXowlxwjbdTtjYP3lUfyb7dlfNnQ8cMQJbNcj/y+os/zjuzgR0ShSr00uDBFVWzMbjRea
Ld31OPPC+U+o+eGMMziT/vn8u8pe3j6avzn/+KqfI9uXUINcZ9u2JeAcocb8HNkQauC5oNLYRIrV
PPf7+ed9gzVnqg0YICtdsLX67fxzvzlY1yT4ZyBqhKn+Vb8e6+A/jWwWVBIFmEP4MQwFzfrjx2SY
x0F20hkvuwkXqezSx3KYb6hDoqHICy/xzCdvPGLFKp7NOxROrvxwzW9dZ/zUIrHFsynRJzVqtunj
EdSrwESmOoqy69cmxOQ9ZU6zovP1RnpZiHxSBruRWYKuPVyqlfPam/GtPSyPUd7ZayNDVSWetsb/
ymziVGdm1WIWcJRc6xXbJTNu+V7+2GFYbdAyUYQpaEkY2dbBYp9gl9/j2AOon4bvSeue8L5cCzld
RmG7Lx2utFwbr41IiC2thyxEaGCeDKfcKLTgyjGwYAFhVLc7Zj0KKmrM3yhw0AYqfa/DpN56nYp/
Mldt+rkyN2Ya7GxWNKvSzDk0K3nXeAxqs+f3prnp2Qes6gZmG0m7w6Jj2eiKyMVDvDxY3nvO5NsY
06lt8zNn6J6oFY/BXoBQkSYVRv2MKmUPdF1Z0/wxiPIw6M7WMTU4yiJ6CHUOeQqf1pmbUbDGYi+M
l31iOLChGekk9puyeSg167Xvac4t052WLr6N463Ge0bP9DXRhGIVWvaNy08oiKk70EqqmrLsopHe
jR2L13QiEgglkMutwFfjOeN9bsjnxPUuOFuhaAwUjVS9jsdkco564t7RMlis7UWQECVZOhbUpZnB
fTU1FxV3ybCBeNFm2YfUou/ToN1VZn8+RdMNtsetsLUnfE5vbI/QxuiSWjdV6CBPl+7GaLE5z/Ot
6KmPqqV34td0PiaOzzvRD+SnXlmbwFAldf2yrZyShhdJf2IELTdx8eCHzm5JHGvVFOV3s7CfTcru
1jRQvdDvwedLJ6hLaQreJZzh+pC9w/B49BoTlAb93Hpmn/X2vC/t7n3QwNkYkXlnkakJOfrZ99as
OBlegXNNyr4WrRptTnwt6unxMok0CPIySccPaUGaW1mILSuJL7uzq41H3Qjr4YZuEmyUZwG+8Quj
Lx+m9pkabpNn7jmHbFrONKtFIW8U6vJY4czR9Tw23iGg7XpVOu20k6rGR/SjXPe1nrB5jLi0a9Un
iczOgxdSdwgKUZDMmy5P6+V++FLyrGFy0djCIJW3RWCii2mh+RDLBJwLSiB0uGUVoA1OBS0knlIL
3YRXeOHt2GoiJOJ+JYfVZGdxJZ0NxkR9U43mczlY5LSUgpRFfKTpH7RX0cT0bREh0oiLhK433boV
uiWh28spWt7Vu5dEpeszoW8FCmifYjBdJj3Ax+RGPhu6beY4F5OkuwH9dBHuY4yeGrkW3UQorHbX
HWIU10bQTYkCm8X9tlKq24I2W1YtgxdqreSieZGh36bSvuWnq+9qlN02QV1D6fVQfBtTMr0E42tr
y4eyNJ9y4WQg22usXjRC1vWybEF7PViRWpMv3HKJv1+MSmYulOCcRtm54GrHPzVYJ+IZq/FBVUqm
Nmpt05jp54x+XSXOQ1XHJwa7V+g49GDnzqWN4m33peB2GJnKNEe9UhdqaxHor2JKblwUc355SOcJ
jqkude7zYRh5QqDPWKNLFwj+PFspNAjzcBYQbeCgsETi0XOQc9rIOLRK34kReliVI3bqZ7iYjxRN
nYPtB2WrtKGMWjjar+jIpFMCcJPjJiBldG6+yEpaRBNh6dUks3svxg4gLnCYanSEoEcZCFNLGLxQ
TEMEbLnXlHKlT/MbPazJ7Ux14LoZx33VSoIs8PB9J6zfxpL2Ia2hNgip6T52CdtX1RvtQR0GQpHf
TQVx/cK4h2uer4OK3wYFU/R6psInZsSxMR6cvAqIFvb7KuHtUHVsykbukHnGZ63NCbitMtxYDfxg
fUbdykKyObbXAo3uWu+7kbedc/oaBP67ESqs3f+aiPr8pf3rRKS+6teJiHYKArFf84vLRPLrROQ5
LKHAQaqEAMPI/1l8VEMcGVWdVRKK1Y975E8Ri60W2DTULwPgGdDKf7e7ctRg/IfdlSr74UrKRAS4
3JR/GpxlFBa4vWf90mIvm+7jYTDY49TpKQmIXi3ttRstj9w2eJ67bAcQ4FGLo3aVU1ZjleHOUzSC
mCOm4Ta0Mcvm2h7KnUe1UA/4yM6ngwlHYOn3VqI9l2HIoc8pFl7qkKhOJdW3a9AAnu/oy7RKWxtS
0Ly8s6XBANyzUoD9/wy4JWNk0ajxGbtnYFr7EXndN63hCn3f3NSFFvO/i+MysB82TPMEJY5woJM9
FFqPT7kRH3FFa9divLtUv/tln9K0Zky3uTtxhE3yeZy1x2aR3IqWmk2Wjf968S4Ke56PmkxvuDUr
in++rCb8tdxC+D/SWMe9huTo0r41g+4D8sb6bcQA2QKJBT1qapz55ptIn1D7o9bG/ix4J4wNL2k4
vYHTNT5H6CwRDsFYcV2mn96v4L8cmpaA3ose075LBV6T76NiiFivF+keQ1bN6kkjDienasNlmv2i
8KZNa9BVzJaCyIExNPrajhEe53DsrqO51vmLZc31UJoJdiawsJwr/KhUBV7bcCmNajpd8wI3S17b
T+XScGUnloqZWrorYnDpplOvWFyn+SbwAmtnO+N8zWdTrpI+EX4yktsr7fLMy9Q6B/vIKbBE4o9g
rs4ioN67qeEKXoC4af0aSA+mD1zDetp/Gh4EtTqq+3UNKmuv29rr0PHroyGm3mDKwCNVc3uMW63c
S2F/eFpprfp6HDdFxUeVVeWBYB+dslaSXZEYTTc6qDvKNNkFeXTe7WRmAkcfWmuHb+0jJ5u4w/5D
SrHRoAMuZXjGT47XRzAWL24JyMKYY7EPBNRUgiDqxoomYupd2vg0HrMRARf0Ws0EOEvqpFet1Ua8
krXmOJLrO4Zj3xDmgyyt8qu7CufWhl8eNUqt9YkBRq7kHH1iDjF3ygkXrcSSm0BRUB4bCiNfRc7K
kdGb1LRqLmQTZhM0lMOGYUnX+FMWNqZrnFY8c+FZkxh00JLq7DYR9H6xmUx32uKUa5LPDEvZ3oWg
dF0y8Pm4WtpjFyzEOk0mioauvUzTIXCo+r1CFfGVNPLNmheuxQIepsTtu2lRHC36+7SwfsxUoV+g
qv2inEXSoOr+ElX859AACHPmKlGVgAAhHCZGagLn3sWlVHWraumvY9UjaNngksj21gevtwmgDN8R
g0Ag0j44UUM4qj5Ci2JCU0vOMpk9kR5ydvhD7HWWN+oQ8U78KA499YYlz6mmVIUud+/YIFzVFCFW
GPhXBdWISPVvBlWJJA8nX2+mq25p3INLnWJJrWJL4Vb91bPYMc+AoKH+bY5XMQv8HbHLhNJDhh0X
5vyIVtG40U0ocN05qs2xz+h1tMTywtIU2g2VjzHVjykVkK45nrTJrP2ZWylPCh6bgg8by326I2Xh
xa+JyyrXTrtkH5pDvHIkMYuJgezMhlG9khReYurKX73W4swSfbEBxnZVjtotC2hl0Unjs7DoeZTL
kMDuPLr8kZj4Zo0uCoZLkh3lGF7nuscswONy3auHZxEB1y71TbvKijYJZe87gb3xJgubyncNYqGc
MNQCJjYXImvydpXU582ScHHDjplxwjjzburnZBO0senHFG5vvAUspd1YnwhrGMzlcsCLdMmK9Zib
yTmo3nxjjsLYmSPGKxMr+Dal5GcL50XssgAkkBRluTfsiQABe+s4ypZ1EMfGzjAnjvqEP22U89Qa
I47zrCAGjuSYURHBKSVqfAljwd/UagZrT9glpK1Xt3caBWqrJOdSW4dkPooc2xXHVP+f+PN/sUjG
j38edW7i4aNp4/e/0b/V3PJz2tHlN2kqij8o1h94j5/Dju58s3HiMNEgPv9Qhn76mWn3YtJG49YV
FRZ5+nf5xwS4RZYL4hXKOeu2f5WH/KKh/zrrsLCzGXXYGdqkBTAS/VH9iYxisIbexAdc1nXlnGsZ
nSSk06VoyQd6Mkkvvd4wU5/TAcklVtdrHU+pw8Ukti5dzsrLvqw1zuZJO1hWYZ56XjT+aLTFke10
fovGMF728BvOi7gr39gHjmdGPqa3Uh+bo4Q+VKy7yfkIjFjuSwm/Sk8amnwcer++I9RgJtAGbgrN
CF7By3apoY/+Qqvq64Dg+qmZ8XJjtHYMsSoqaAGcSQSSTEVntWt/MhID6SLJ19gu0qs874M7g1nj
hgBZFt0KKA9hi6lRrxf2XxEmFEpsXeq4dTKSBt+wFwMVOQNrjCbyOWDK+cVyxHDdNLqLd6FsDEwu
hJbEhW1XpNetuE7utWSxlO0ldZz1ZNh1swIggPnPGmCPYw40D3LIu83CFOo7rNoaWk/crqp9XS0B
xNB41hGiaPMSfK0KcrU1IFPLAkGr1TJhjgvT3IEVSg4zOSXPLxd5s+jt4OwNtZMoWU50Scbxb9Py
crKoUDu4X7vMRa01Z6Bci7mO+GCOp5xYZ6H9kJ7/u/woevw/nwi3L28UVIGO/rstPl/580hA9yW5
6ZI0MbjM/FkShgQkgUn++F/4qp9nArqvaTOnq8eUI0CpxT8vQLCluRjpDgkqXqX/8kwgM/HnC5DD
FUz96chasF/7M2fcTIYCRWIaL6fMFWuJl29LqD/ZVInyZk0dnqW05U1tyeF5TPJjRfhqZwvXQbdg
/xzMYesHhatT8GdTfcyzkM9Q8mwRa0fRLS9WYCwXXt99wI1paR3DSl9lwS0hR/sEOYvivMGseYEP
9YWtm5skjB4gLm9GUVD15LlneWecEYD4JMH6MEZopzK9rLOGK5Oxh5CqDNxMi3FuVoQdydQtJCd9
fGYtWynUVLT6j8SR96OtfU8H7QP2DWVNqsN2GrF1QXt6p8QVfIgg3srzz7wEvGJMR+zBnv06R9QL
YfjW6eYkVzFQfuj3c/kQ5eW1YYe0pzUYA2bJ+N4TnCRh3YenMD7QlnZTt/bJzIKPBdluLq5svRp9
s0kvCuTPZUoe89pcBUbwFhXW3WCBoRPJ5xwqb1JmXLuUClLczUw7hO19qYHxmntqf/osyrZTR16k
9pi2Gpt0JdZhv3NGyMquoME5ixq0ediEC2nZdU6f6LoNSJswKLU+uWLy43i/cs3c9SiwN5aeGZyd
eOuSGblTj63Bt0rNPDU1EiRD/bBOXb06W7Tmpmwn1v1aKXbg8Q7IxLHfmF28hZti7fvAm9OHItSc
8GS0S/6IV5/tZcbyjh/fsKwnkwvuMMXcXSz3s/Wi/RQNl1HXpGskWlSZ7kuhaWhqescK70Dp1iEl
xVIPtiQh9UuH0Pea+bVHK4KHWCkyYq4YiS6wxIZ2yD1om++p4ihaiqg4SvLIWgVl0QC36BXjwczp
o2qCfpcpImMDmlHrGch6PFCbKQAENYwQHHMJvNlpjeKyBe9YC36WJsDHiS7bOz4BzhoBlJii4kIW
ihDp9mMFzXF4bRU90kkNSruT6KPSuT8schab2NMvNFdhJwUAylyzdMS3rt83ik5pNHZ2W9t1Rkmg
U9ylimIJBY9uXQmBEsBl19kozz0vjzC29pONdE0Yj0Ed/Dj4xvkS1TdYaya05py8yMaKjfHY2bq7
nePAPutm8TIF1bqOxgfstxX1jWJeMUUnfig97sGT1Cjf9sbvaTKOq2KpAz92u2JHhiZ9S1mI7rN+
5Dpfu2fpGE17HCPupulUPW2zkCSwLShHo6nTdB+a7skd5ouWNxVmPw1LfYkjJckHSJfCnfzOKNqT
5oL4akHkUB86LZv/xDhGRnU8/8/3UfxBY+JfxTj1Vb+9i5SPXKcUjhkQFo/H5PpzPlWvKXAwjmmy
bjTUovG3d5H3zXF4gblQLhDyrF8dZWwuPd1Qm2cAdVKh7v4N2/Wv7yLEOIf3ISM0G09gyX8cUBea
kiOjjMWl6aISB/kCNEP/XobvzIULDvNVg780VkbTGAvu+Vjxzxt2YDZu1B6LAIn1mwyXKo7lNerC
tGvT6Kmggo5p98YsXGhOmAFa51lX3ukM5+uCA7azCM+HLaZYI+zZXhV3ibLLApLPaPjWO58K02em
Mx8a9NHiJsgG6WWJFnAMy5MhNZAduHEjEFAEvB2IYPG+7XFDJTh3gT3tR2XllbSpTHh7E1TvBa+v
h+eXaZ2MHy5gbSwea1zBqU4TrcQn3HjadsE3HHupg9pT7SoPvznF9D4QfICqgaqUxHfc4T9mAmfJ
iNLj4ExuWlzJM17lejQmHKCzc6BNEqN9AKZUZBxao7ZnowFolKXtvtfAQsjpYHz5oe2bsepvAM81
9xmO6UxZp20eejiVjwJaHlRmXGpiOoXKbj2GjraxcGB3A2fRhCdb4s3GvAZEALf2rL9DpPge4uGe
XQsmprJ1Ly6HjDJ6Z7V5ou36w1QWcBLB91/M01FgD9dksO2UYZxltb0R00w5+rxz3XFT4S3vW35m
obKbjz+s5+mXDx2wNYaewEnKXWfF1gSZIZ6hR1SiO5SuG9IXAN1KNzqcKXUpGmfDDQR5sf2SGrOh
pvOgs4zOt7/EyOlLmIQT3xBnA2wXRnXNoc8msq9ZfKNrFkrghORq+CbrzRURcv7bCGEBPdRWwqiX
1p+ukkpnNNNZiaeOklEBrd44S8WO1nQutMiAJGVU/DsE2zEtespQYwslyw7TcFspoRYLeuzL2npP
0HCNefpYugbkPOpuSPfWCr8TlFiE3xTCTaOkYHaA5gZrH7tuJRN76V5GzbObWt3W1GS2sdCU5w6j
XiUhnyARvMMu5Nin+YJPTucRb0KWFkqgzkJibM8ZBeso18WUvEvEbAtR2wCZYaXLkcTXLimr68Gk
mz5CBq9kTFcHwjiIECQer2H9bT8Gyntp8U9cfXwMl/o6RlyfJWW2Y/tcWBZU2ZnmC81xltjnXwWB
0kkJPEYagcVspWlRiylqYks+EjYAgnLDDBYe0ihSnMCLpaloX6w+uV43uOOHhhTnnDZv/71Xvt4r
Jn6T/3XPKf7fFuvfW9y+/d1Vhy/+7fVikEUCgySFBcOLWqT/z955LMeRbd35VRSaZ0d6EyFpkJVZ
DoUqWALgJAM0SO99Pr2+A3ZfFtFsQFf6BxrcWbNJIP0xe6+1vrPpRftDQfOCgoU6B42dM/WL9Qfh
DgRtOz9/6q+tDjUTJgEQN8r/hZ377xsdBOo6MB4xjUHK4cTPXUoky8h2EjQLyQIPtR24Yj11dmN+
I8ISv+FnfeU1WJXfAaiLCVTlEOIMztSFLIXMaqo05dROEq3ptUGES2t8G4bt+8f59Ur+fhwhBjs7
DgDYimRjg56VCONvDqP17f0DYAB7/0reOLpCeg5qH3El6mSBt7i3KDmzlnMkCkSDTzNv1Q5PFamI
8VWHTVyJvyfROgQ9XF53xW1I9aarL0wj9G0cuqGObf2W+Dxwp/kHt0KI4N+957xY5/dCI/sRTYK4
F0Qx0Xypq4d+oMyu6KeRBUMADiSeXyycjzX/aZvx6v1bJXbifzsBJFWGSXWKsAL1zZqlQCHakb44
nxAaxwTMO012SEmfoDJd6TXB1Swm+l1iY3+fWtfoxxuFlju18xJcgiwtqwZPFTIoik/rLpT3I/uC
ZpPlj2qu7cdAZu8NL0m5n7ScWK/Uwfsc2B1YksRvzGZX0eFTh3qtdLOHD2gTLafBjP08RK9ApQ6/
86bB352rV2R7EQTw2KIzCtu7NrQvNci3Ddz1AYmgOpY7YokxZ1FoTiovBTVb0TcxqT4vFLXiWVn1
So93NPfHajvXj23CthZiZT0WF0qnXyfJZTLlm6FQy/vcwGCuLVCQnLtONz0CaRD1U6o24lD39Li2
Pdmmkl6m2RMCUDfPEUs6RtAKqvPh/Sf0umr8+VnihmDcOfvw9Tefyxiji+ymdjnJG20b7JZD96Bt
7F1zal3l0G2R7/vYq1fzWlvtkY+vS296knbputvIG/MyXic/1AL/mKYiPp6f5/P3z/dNGVbPIDzl
4pUlPIqwnWL0CIHHASh/MBz97s08H47eDHh2nC9ZFHEcqXCzu+lbLXjuK1YsZvDBR6D82kX/cUnn
HwEbi/Ov0OH6G82J1VOkrZIrorJ6tB+hO7bwolbhieLp+8/0dyMgOnPMoDYJfIgBfj1eTmPdsjJN
PY0kPRfLl0G6ev8AvxsAzw/w5t5RfLKgCKrqiQhU0YgfpVU7fcQz/uggb0ZZZ3LMBUilCgfsYqn3
nXlHxvT71/G7Ken8Ot4MjzNzNbJnQz2RwYI6k2a5eeMkpDVPP57If3UV+DL+2pRt+dL9D/Gbv5bV
3MRh1P2vX//Y/vhz+L30nrvnX/4AZh5W33X/vZlvvrd9xo/++PDEv/w//cs/iX93oOP/539//gbs
1ovbrom/dkwvb2mAGo/l/eXRvnyugVv//kf/tTiS/8Akpci0XkT19twawd7bsE1aCZbGQsiUz/be
9h8kaOJp0mRF/nPH/nNxRLT7n7/stdf01524+jHYcBP/cUjSLDHo/ByUGCRZZDm6kC3rwFpYjv36
RQFdyadJn5vTLNFpQb5GtgrK2sJOdmYfFadYZyiMoLmZRrOhCWIAVkPeuYTyjRboN2nTfy9xQxBC
F+2SgUxjWGgDes9UVVcSjLQMVpoNM21RUXoN+oQJXDvIGUEkGnw1GmrrILQOLdw1gtiuqZ7dWzOx
afh+bPhsNjoMmjAu7YtdSqxIBJOIpqi2M+zoUwPhTdLl6znNjv0cewMEuElUax1zOpj2sjEa2BZx
eG8QiCZxRX7WjF8caHIBbf+u0T5rIdawrtsXgUm6tnMx6DVhd9HRIeiaKteKeMdjD61OK+vLZlIf
qGFsI0U5OtRopbQ8JUpyZFXmDz3VQuh3kTyQTd9eRVF/GY7zakDjoUPLI+Hu2Kh0r52XtnFUPxdY
vajv9wucvWC0iNfRH5Jk2Emt4w1GS4jDQmM38XI4fWbV3M7tzF5pik+hYaGYHj0Fsp/R5tsF0l9u
d18KdaLQWBzpbh0GiIDG0u/zZt72dUu7vHqxkopQF9JuAhG8rN9YEUHmqIK2nYAN6tl4mQr8oDLX
JMGlz1qp3zjwCSO8MC7T1qmHXBiqubeEA9GWxaqFbJg4006BdKjn830I+dAsiBGuYSEGaIsQc8j1
ysrrSxKiR8SUoBOzuQ+8Epqi9YpVrKeNDRIHkEX1oKooQXIYjAWr+BCrNNZAv52dET3iK7GRDmK0
68qmSU76skwEZ+tmoW2gdMdrRxl5+qIwLSrUZd2zdbSrm7Tsqn1hNuTdi4q2kgnYm7EM3jArsFQm
aij4BFWc0ktyoyoqXUdIMAaF8qTAQG9TTvO5pGVVqAukQ1FZTyoCfzpRbe9F3T0YCoOo6vk21ufa
w3aLtUQjpmURFXuWUciJKOJDN5F9+AWzm1Dgj+2ZnKfkZRSVf0dS7yRaAaWteZRoT4tqrHVaBYTO
j5jihhXmoe+QCS4RBzxItESTy0b0G/i3dB6oE7gazYhYNCVKUnhEl6ISMMRAdC4wchMEWelfQvKm
XFn0N6q27r1Wd46opELXYmfvkOrHSh/R5SA6JKlqfw8r53Mxq/cGLRTOH5lPKZNVKvorZKWHLhqF
yoNLE0GHYak9oJqvaMxodnwaaNTY+fhJn+aX3pL3CY0csmLIwZF6nwnhU7yovpNn9REnYL3ORR9I
FR2hktZQAUIISFMKjzAaNK/XiegbleJxpNPqtXX+TSqFynsaaQIh31sn6bQLJDJXZYeohWVAI0dM
atZNp1i2vog40ImagNtMOe+tZdIjGAx+MtuGNiZStVbXdoUCo9bUTVCqj12N8IhhCuW8sYvDvmUR
HT/OIZELjqR/jYMa1AACPXpaX6S+8UjHnFdTIHt1ETxodAFWM9koi9rTTSMgnEaXitOiIX2+qe6i
EZm5nMwzQTk89ykIHjURzB5UgcX7pa3rlORcxxn5RON0XpUln2UDpY3T015ymbyCIQhFNgNL8pTc
oTGvd0Q1mpzbsMdTfppypDfzQsBoru3GSMYtPnwqZHnfjTawGslxkIqTe9TL0yGN5FvoORdGEd0p
s0W8TWJ6RZMMrq2PmmdO0gEokUKfPb0nWxipSl5ZXmZVZAJFUVqsm7ENo5VUBrpLWpdMMtMQ7XQa
QqibdLeQbWkjk31M+4tEsaLNy/XUq+R8zLhxIb9ZypRdxyX7tdcp+L96MbL5Xh5p4ba/Lj7+f16L
GCyE/3kt8omlS/+7HoD4sb/WIYr9BwkyFNctQrF/VGL+6gGQuWeIaG7K744QsJytQ/Q/HFnBNoQs
l6o0wdo/+9HaHyhxVdNijULPVfzVm4XHewuRX5fELEOEthfHE50IBWqFzimcbyQmWQqHpin64zKn
K0rioi5Pylz+wf6B2tPb9Q6URhZi2EpNWg3s3H89kJJ1Q20menWUe8O5TyOiZWh3Z/OyRY5jAMTp
il7fkV663Cbk/LvEazM121b4VJUJe/lwdi4UlOhISRtjuopm7Uaby6H0zDlEaTikSat9HqbatK/G
oB6GdaJAExl0lG9mKmVsXDLSX+KqKlW/HLN+WJGhGwihZ1A88uXTxYPLI3tt8dXI9BGLT5WdUKhU
GTEwUBLWZTBpdFV7V8raEhBXPJbaSR4UIz0MWXJquhR7U4WtO3KuNEX+brTVt6IO10Er31nEoeJf
2BiSWW5Q3WOXqJCLUnh3ct+Y8l1AWpanpbCgoRF42Vy/ENl2s1T6UVGrl14bbmm1UwjQm+TJSjHg
OGHaX0pW1TBlGeY+ix16LXmGL0RlgyZJ2ouetMVWDxiQig7TLPaR2iU61UDlJioRzrEtwLouqj14
WJvUDWGG97MiPWYq01GZRAx4XReqtEM0FewO/k+fYCSUz7r4FZ0KccNs7hu9Q9Bj2kV0g/dBIhJD
aWjLyPjLoQBxF4l6dduUYVuXGhIEjeWmxuS+jySWc2ff3p9r7PNAUxFs+euSmsU8qgpqQzofB6/1
r69YPTd1GMI0O7Z+/jyStXi73Fqu5NbgCwo4zC59BT/fWH7jF66x19eaD3h29eEu800dQOdTR+NB
GAS2Q1knjOHX88AsPPZM3+UxUMM90t9plYY12Y6jrrq2lTp+TbjQulFNsgUDW74MrQb4J8/ITOsc
MuJ8dEhBcG11+dxNpbNuVaxxXVetA3v5TLAJpZ2AFgjU3QeY0shfm5q2b5to3jQGOEIiCkUYaHyU
oRvmcUKamWzRftHSc7aLhkZUVTc6tTXMMzRVYgdVeV5sk0n3Sk3HbSdX/jiGBzWggwSHVPHo7VMy
SlqPj/g4TiAV61AQX7TwPhzLraLll/1ky2L1t5FTXjTLqfV1Lye37z/iXwcRESZLQZt6L+OliZzu
bRnCWdQRT1fQHGUi9DYMBHiHGuIasAj4WK4QO9fh8/uHfKVz/dyo/f2Yb56mNA1EaiBkO9ahhrWY
FHD4Qd7SWls97y8J/JPd0AQCa9GxMjLWgIZezIelQQtjS8ahjO1HOW5rd2ilF5Tqa4p8l2ppXsvB
8tUI68/5GNcsZerqP6kJfwpHmaP+eU4WWS+XzwTw/KY6wA/+NSurqsh6Yf/N1vvPqfevWZm/wuui
IAJzSFQiyO1nZ976g0RJ1aJ2QPVZMId/zsqW6LdQjWY2//eTcP82kjF80OUnu8EiWUaV34xkbT/S
zzYBw8jlVRPq/owX8+ym/GawFPP62VvNwASJg+KDwRUKF/SbOhVK91Trrb4/tXpCuvknST45xjWw
eCUgl/nIVPn+8RDPfnBEcUZnTRSVgTlGA9SfEryqwAxCEs/mtqS7XIZlez02pb0fOqM6mimmw9aE
Rob1pA6mwMBV2REEHxbm54lO0M7UiNyE+ah7Slti5bOjg1HivrHVdFU1MjbS9MWZpMdiya9KwoYR
VSG0SsJGuFKxHzChoachRhxbahxu9dQEWJnFa3B7GrEHcbkJwPysYgyGrtUgmycJpkE6FhN9QlRn
H9/YVFyAWMPNi4eDVAc8pYQhMsCPWpMBps+k7JnjdRBQAQwkbVuWytWA61C1zV0h96TtJ+FFifMX
/Np9gy+CoMvPwyISLqPtYC2tr5A4GXfYSSomSxrsbmSW4xqiSbsB435Zgnq+tTqZhm9jzG1xW2Ix
2Jr0PxKlqLc1rdzumvUD/6PPm6k8ZdT5O9yIRzrjoLBaktrzXqu/pLJ9ME28BHp+qKx4N6Xk9zjB
UZLT47yYDwjCcISgVnLRqjBpxV8BeH/LcMX4o6FfTpW+xxrsDWl16ILRxw29Izz3SsbgXQSEzU/z
Ad3fobeb0uuWXIZ8Ol60g/xQ96qv66XwAS335DGH6E/m9Bj3xVWRdhtYY8d0SfdyiSJjqkykSx3e
o3qyiaAdUDLpc+aDjbsnpYgWNdDOtZpX5AH2Y4foX8VIRpbfISM1dU2/HdQ9W+7xpEf2TduTJ6aQ
pORGUbNWqnwfZPFVX0i344DnVeKxEKLq27HjWnn3zYpI6FHM5FoNR9/p8x63reIRiU2XZb7u+pJM
c/qCJnyzsRnWwOa8zsSor8heWZYgnfSrPGByGCfMD12WDjfTHN2g+N6xTvDsyn6EIbWaiJe+q2SJ
ej64rAL7PAJvHA0FXnk6SDrQQCzQ32XQV0VverWuABC2nJ2aJyY0ydgnk5ZctfAqiodL3Ui2tZET
/2f4mVWQWh1ctG1JwP9AAm1HFIp0JIPeU0dpx0BxPdshtYuYKozGmhSh4ye9ackLkHJcUvCtCiOb
tymp2bsmQwbIJp3UIWmftstdW41ISrOOykZ5mwx4sxJi3QFLQpe01WenT54Ty2aezBJ3SsZ0NbbI
KYJ2RDIYDPb2dZj5z0ZU1IffnfS65//mPjdfnn+3HRU//NfEx56TKUXHmoDhU8SUnmkGZCwTquyQ
6I5sGdX9z4nP+ANQA3tF23TeRsBjmcDkgLlMwLsZ9vV/Zzv66yQhtqOEr6nsEy2CzljjcXbnk4QW
KdLYQYU5RvnnpT1O09PZbfnNtEe6xy/T0I8Nr87mgDAi5j3DejO19kGrd4Ex9cd+YR/D5oqu8TEL
kOU23QtBg16TNLGX62h9Qcjt2KJvmzphX1OhsxHbN4JPN4WFaZp9XdJHa519npQRTqM6B6pE6GXF
TnCJspPyujnUhq7WTmEuNo1TjCCJmwj6GxE0Eanz0rqjbOyAxwVUJuVL7ZVcgf3D8nSBs6jVLCBh
FcSFjuMSkUMoPSZ8l2SO6V97gcToBBwDrVd9oQhgRqjYJ6tCKZbB0nAEVENRieyoBGgjmfC8awK+
oQgMx9wUFwNcDloGBwO3hOMA7BhD9qoZDA8o0ovXQPUIoHtAj720EZsyGBWfJRnLtwIJJE8lgk0c
pKU5vn2y3WABdrcW2w9JrnZajTRYlrZF1e87gRkx4I1Mqb1PBIAkXPA3QiSpLes5UAYM96DuQkci
miB+7gTEpBXmRagmWZicJDz8Bo3bKFCfWugnDhSUvDYOusCiNOpwmWmkb8BLaap6awqASqnDXxVI
lSXNrhoBWWmhrXRQVygPCxdbstcl/a4TYBZVIFq0Rb+NBbQlEviWHo7LLIAuhkC7BDBeZAF7KaG+
9NBfRigwPAt08AUgL4qi+wlSjKMPD3qprUYIMmZrPjHJniBs3UQCMdPDmrH04TKCPVNiug1RpEcD
Zd0cOk02jIdIzW5Nga3BXfKAaveTAs8Gadu6hG9jL8ZamprPpt5VLlJggtDbp5KLV+d8ItJy+Ua6
rk+Y6YrkVioJ06EaUS70dYjPBjUcltEWqaMFGwv2Dl/BmhCtpzCgAjK1XbKWWApaVf0yw+2xCRDV
4fj0jfwkwfVpLaK8U1R1A8Qf2ci+LIIAJFBAEUygNGlSsrHBBOmSdRfBDaI+DkAoJjNTzvEXKjld
IIEZshfLuATwVOxjwvzRiSsI38ESOfpjX4EpklS2UaCS+XqS8VaGZST1QI1UgTcyaiK4wJ7dTAJ9
1AsI0hDKIi1Xa4GnVWhJ9TjwR6hJYaeafkx2viyASo5AKxEbM/gRds2SqrlgL+WvHKZ8lmizJPEQ
H6cGUFPNMgNmas/sBi5z1fwAOpWRp0fE7GQwl/1uQcpfCARUidWEIL9eviBH0LWjGTBn3Vx0lMEr
vYIw19OMUTSRRKXW7RbXWeKHcX8wlZBJOK2KjbIYm2BaHII4VKZMPav8sqtLTNFxdrIwf6WrTGqv
l4ErDoLqq7HMn5pAe7bSesv4RmKgAqVRAdkyZ9IhoIsiei0GJCeDHL+sBH1m9JLI6Q2yhz4tbsah
GYljNk96bLuMLKsm0T0NPKVXVsWFVSPSpPTIvx+vi14LVxW9KsaoPdWLLUZUUvsh0cGJwQ++iYzo
Us7kh5Q2j9YLGU2QbYopJcmNAkUbd4AioEErnUxvRo+tL9VIXZ7cnxagQj3md2hvx/UQaxsNxTp4
agLTI3uBHBXHzeVip0dNhbzntNcKSNdV1sLbyskEW0a8F4qFgjboSWFHkZPNw72Inc/VnLUulllq
aH3kz2OXO4w5/X6UzfJzoXcS46/0UreR7M09eWscDkF9ZeqnUsvYG5AGPwCtioZNQWttw9AfPQQ1
R1D77K7IQUKw/3P2PWli+ywJ8ZUYWIUxGmIRpkSml9adUVM5c/VEB6BJqo436wFWirS+M4P5zi6M
5XEJiniV9WCnjT5UXGuc1h04r00lD8WGJJpyRRgmTrnB6B+bmICzyZ7jRRC4I2alqNvq9L7cdMQ1
ZOeoZfPyyRyqXTHS67FgrLblSZ6tfVrP9zKuoiGmllpW0X2fqXd2XzsX0zwNu1JKGq8MspndTDK6
lSw/4eTQPMB29WNvVooHnwSacsSLDsaCemWgPaqT090GqjGt7V6C/UUA5we7xF+r0dRaSFUzFZYa
FIsdMrre7hHzHDljmBTHLk08nAo7g03U2LTr91cBb+V2fx6HrS8bOvT3f1sEdNaSp8SiHvMsuyTV
/J5R6crO888Ml/gJZ4cHMGfbYarWmZ1uWzUito/inVpcMFId0E25iZNek5d9Y9ayr0X9CvqvC1Ty
e9mb7E35BMC5Hk35o3LUb+8Q1lSg9bohSum/LpCMvC/jzkmL40g+VTjfCfdlVH6g4HoTW/aj5qUL
xpUwGlCEePMcgLRUc572w7EKyd4g+HwHOQ9Me1AzbwwDaVDS8ChVWXldOLyDjrwbbSJhyrlioNLk
6yXJ2Uct/TWaRue2YFbqy4EtJe5RvYRxYZCiLeI8jrEU79ngc89VvhszB0U1E4t0g0fqOe0ovZPu
t1nwwgStYvpRFqd+2mlfpUZdU2btV4xKCL5Jy12VNbEGEeYwpiKWNpG5I4LwOwkIz+ysaN/hb5is
7HJeLAJPrVnaysqYXBLel7vLRK0OVWHsRQ6FFiUOPwW9kt/VI8RERwkPRl6xiTSrbmsqoz+UTHEK
rHeqMqlfyerJkK3Cmxa2sDC9D4H83FP8NKwd4+KTLeFGs0ZlOyc6WOkmIkeCYIMKXbUGIHDRWXpM
fGaE9aCzgDi4bbrcYPc47VEoPqexGn2lZrGRTdqgVhZRO0QxqLX1OtbQ9ROofpOj2cbxx57WXKaL
2mo/0M/RX/9l0fzjfeCDFL4TIVsRuaXny3LiKsuCv+uOVMCeNaelr1sN2dGUUDkwnn6maYSuro1W
ijnhmHhNbMsuuSskOEQpxtmwvexIsSMS5dIo7UdSoKJ1mxv1uu9lfYdeisZTTHj5YA+gzUs935Jz
C8RIoTZK05j1CAORnJcUZYz6NsyxpSlRC/ZxpF2Mudctqnpt5gtiKPPZEdqrQSmtVZOr96Y6s3aG
6qp1ikfoAfJDcB30eM1Hkld2VMy/wdhAnT8yDDjZ1iymu8BJDtbQrGoYRaaBr2EiimFWb41huEyT
6LaOjRvgSxtz7h7tNNVd1o2yb9Y9a8Eak0OPgsAWQR1aInkyhSOPnJFniXdiVTnak6JJj0o0UPbt
kGxGlrweFmmC6Fr6it5sZIJOnWIgWxPhA2wjrCzyCj/GhUUc26gMyCgzYUzs7rSxOjrQRFqc05gh
vtbYmgvL9Il3Q1dSeOmQnspoOliFuR5ph0VWnKxi3KKqE1+nFbjU2V78sp19MwsQvbCgKc2QfQkf
4yA512PdvcSWhLNgFlZVUqm6HotKSzJgCBNJMQ9mq21iDd2qLfpTerhAjWSFmvbRQSJdLMV/UNIB
CqX4yoh0uK3lWk2li5xZPBpD8kKyp6Fq13XoFs5Op6CnMGtmwbjumN6LBiJ5L9WJl6XSJhnti4Wu
g+VgeRgVCK6tzKC7AOtOkCoZo31FGOs2LDpSUepDIayxXZdJp6wSAtrM2uvheFGpCXV6kbtCLAky
JZnsh4ryV8suITOx+OU+tTX4FOOVafgWkJzRPuYQ3+kAIjyxhgeKNPT65UuEWQ0eRv2QRGPrDkEQ
XPTqYK1a+q0ri+QUohiJy2LdsC3nrvVmE3LjwCrEKoljszDDDEGjfDC1ffClvmpzz6uskTMT7pL2
VFGpKbaXOQ3JaRB8zVPaXJI3+0Fj93cdmbORQWQznI8MakTKeJEzMpTld8X6Nkw3g3MowkdEOu/P
2aK2fl6x/tH70Q2dRrVtIfgSM+PZlY0tvacE581xUebQr+KpXcWBKpICy11UomlOpwGyFZmvJZGf
l1jyDddMSoycCaZeem88GUV6wQN+PRUaTGOt/yTF5amUrVt6nlAGklXXqrcT+E6v6MI10YCfi0R/
kKKsugl7oLQGEf6b3OgFNRYjkOLPRBOCOA42RadZD9gubqsl86ik7HuNwDxNJRZ93hmVcxrT8KJh
2rYkCBBqwcckCRDVaqqUh7xq/DgLdsRgolSabLcz8udFno1VNoZP9eQ0D2oYELdOv+2Du/prveXH
wE486r9u6pvmVmpCOW7gER3t6XO0fJntHyTGf9Q5fvT730wcspSxRg7TGbzLbZVArtDuP3gt3n8r
zDfvH8LkVE7VcD4a6hW+ZZfbJEfz6v2DiLtw1iz589WzbZMlqSKUo7++epPVghHVuQoHIFn3tRtz
1iT38WR98DRE/u3ZgV7LX/SODYWp1mFpqrw50JzEBM0slXpkGfOVSc27y9aBR/yfG68e3MJ92Jmr
4fDlJl5Fnyb/Ge7pF77odqvt3r/g3zY9zz7r1xM9+9icIXYqITE4duvBk1cEPd32m/wa1I4v4rLX
yob7vFZWUNrcyHcQv/n6sfj6/lkYotr39/v+8+0Ug8/ZWWRBm9lqw31/xAHnW263dq4sl5YVnfzN
g7E6mF6+cY7RetoWt8b2DtTBZtoy7rnLpiQK1aN05jmedOi3xaY9RRTu3dD7VLr9UV7NG2Pn7MqL
cdvc5+vb90/9bbfrb6PVmxW0pLZxVkkoIAwX8va6/V6tqzvFI+fSC7zIA1O2zvfl5urrwe93xooN
e7JH4rZPjkQJrQKkAO63YPXp/bN69ca8c0PfplbHSL8ay+Ssop3jRqtlm2+Cu4LWCro3l0Ant1kh
O93Yx3qrfqaQ5r9/fPH6/v3wP7+jN6MNQ40E6nKejvJS+tY4XixSehx6ufxgUhKjynvHeTPq2CSV
DsOSIT+hUTGMX+VpOxItQXSfDAWhWr9/Vb8f4/51VW83kxLUY82ok/5ICA47v5sqvP5/O8CbPZ82
2Zlp5mygIE6qCXVA56Nu8AcP5lWsfvahSXllF9bMh1ZWRyAR60qFDmR/8FQ+uk9vBrdWyQBQWkl3
nMRTWTICBpMPBuqPruPNC9YTt9ajepyP4zCtYvMIS2xFD/j9x/HB22W9GZXMIJRminPMBpO50p3C
T7PupGn9yoK5mIzqcSCR/v1D/va6jFc7A8GSzlvgm429IKjirj/q+UuTrFMNXY65ef8Yv308Z8d4
89FkMAWkOtKnI7gm6vfXef5BVeGjA7wZEpc0n7SkrIejzKBNMTrVsg9u0+v8+N6HLyaUs/c4imn6
BBnvMXsDZF/hftiml2wR8JmtIh8GtZv/UNn84wKHRLD3xxpx1WeHVKj/KZ0aMUc9UhguGFUvQ47t
js/KYdkN7hU4C/7CNfx8pbj2teTedL6Y1a+e6ittz66dFDl/7txtsYo2H53ebydyclb/tXR587La
cTPKSsBHp5zERC65BHLpu0JZuelG9x4Kdw8i4uJF/sLmrLmfLxA4fzB6qWJ4eu+hvHnug9SaUe3M
rCU8+LMe6FzVdJ2LzLtxjuaBUBzvCbaqW1CxXTebamOvpA9G6I9OwRJNwbOHJE29pBdj1R0BbrmT
R2Uz+WaswUhc9N+nLeLIg7WRNtJL+KStpk16AsD1/f2v63Xj9c5dsN68J+mg5Xpb8GqSy7IGYOzG
YlW3S1d3w27a7ZDzu8uxy90HGT9kvq421hUh/F7vRzvAfJ+zD0bK143Z387n5+duvLkltuTQG0Le
fKx9fWNuAD5P62W9HOILxf0a7ohQXNm7aktR7zCtrHsfFyyPqNuk69vYE4uEPxcH/2nd63wQH7Xu
V1Ce/i5YEz/5V9/+1bOGUBs7Pw36V0H4mWBNU0iMIbMGrTQt/J99e4uAAACh6CYNIVcTo9dfdjbz
D2ykSLItxUKkKv976HYqaL985fwmMhOho8EOQn0rTuXXT8wJJCpHtl2dCvw9pBiaDX1Zgq4ygOkx
uX++mjSK27KcX2UpKeOL0e1qQ3kZShkFWJ6P+xG0GTnPVP47ud+GZegL4ToJXki8yoLik4gHTazk
yxg0YDuBiiGaIjcKZXnhW7lhs7SbnSs66/dGAz+6HrUZWM9yYGFzjxWHFPj4IUi0uxx/4slSAmlV
Tsro9rAZfHlS4n2e0fDRifRNHefahqbs4p74rkhNvw4B7dwVtbNFUHiRVNO8lqfCl9rpplaIciur
bJdJ9XEoCODQ640ht6A8jOmQW80tSAJUWnN52RoWJI9O26SyE8HBaL/O2JzQv4WDb4FBXGlxAPag
viUlak0CPjwc5Lht08S7IbM+K0pkrcZpZIEh8nUXvtKJrhnxp9uoRKU7UXXzskbkpy03QajMW0NS
uDV9PFxkMXju3AiPThXvHZvs+iRDLd5J35Ikw6FS0zIPy3gzLmO8qgPandJAXVOJIEL04Hf6zL7S
woLKcyei2Qje7zrtBlsWEWXfVLt8sfh1/cwti2tSbCKlfY76QicIzaLfZ3VeUmoqJbcEAYKpumVG
TYqkl3hlzu3WLp0b3PzlVZ0rl/WUTL5MgZ0eriBN8A5vCHO806ncr9LB8VDV3lfF7OzrIcGTR9ne
rIMjIbPUXIN0HcTZRVt2uAAQnGUEwI7FupxAFClG/ODorU6XEuZT0JKP4GT1eonhq9XzI0autV4M
n/Vxrna5Ntwg2EX3tYzfOfJE0nH2fbBq5USCnebWyoyawiZPLo0unV4KDoPWfFGagE1qo6jYmNAq
RlJu+eDtHcOfi5YYm4VWINpG/D7VEbG8ta+E8nF6FUFar4JIrSJDAOrQN2Rh434wNGin1rqppm2n
kcpvaCTaBc2To4/RirY+0sWKQ1BoxpK2bUYWoL3BLbbDYCPl0XKvVaXi6iqGTa2ybu3avOiU+XsW
1amnpMZNFkThhbkM/pLDEI2wNzoJ61mT9iXV/G/JUjl4/6xvmL8BP9kLYTRwqL1Saa9pVHOLm8sA
AaFnNWO1L62G8DvMjHWq+yGpmbzhdu8CKOAnpoH00DGcKdUGL1kVXNFw7eEedDLetb5cmT0++WDJ
Lmq1kP2Fbsc27NEIIBEAOr8fE7X1KPc9JaQ7k1HTdYdIl5DLEEXxXZaD9K6U9QoZhT1jpswihDCv
g/J/Zieh8vpwdsp+LyvjR8+mJxVBNVn0Yk3xGmd2Nj2h6SI3k5lBd0Rm2b+SziyBaDJF4oz+iitg
dXo2PSEoJRhNRYCIo/7fSuL9jezLlgnDkYnvNJgJdXES5ytASwmVLGuM8qTadP7hoQiStXAFErNP
IF+o0AhK15k274q8UCsMqtFT7lj7fIjXttNtyoyY777eJYZ0WqTAl1EIrLLEKg9ZbGFIjptPs6w/
2k4FN6PFpmxLnT/M6Z3ZBKeEXE48myE9sjKxrqcQzKzbLEklo9Iy5dKzjVH2lUk+Lqg3PRzQwyYK
IjDCBmrXQu6iVawgE0nQxyghsVrkay1BGUMqMsptb465RzIWbGjRlJxJFIe+QX9l6iZvGOT7gUg1
CzbNqNKF6BydDo6MZ9FojK8m17mqcn5v7WAyIcL71eiJL6VIvjrEgfpzUKJdYlrGCx7tELMGu6xC
cop93S8LSd4QzpVdGIY0HoIY9CZkE6rbTXIf19AmpYzpAm30/2bvvHrb2NYz/Fc2cj/C9HKRAGFV
r5Yt+2ZASfT03ufX51kq27JFO9kZAWGAw3NxsC1pkVyzylfecoGg5twQsufdqK9qs/lUBgXgiai4
NS3vIucSpaDeneo9BjVa4QqCZtosUolGV6fLxdwR8pxR0ZzleZhjOJ3FK3Ax67w0jo1U/ZyELTIL
Qn+mQ/lkpN1qaQVt4Ch4bGEfe+l4PqpJO28sXUO+u7yLa2nuNlkzw+HvtPHtEAwEtwIlz7k0QoLP
ItRrqizU0HSDWBOrJnpl5lXkDjSOOohT6ugtCz2xV52UPRQqLlaQmPFhxsSgkNYENaeEGRfg3U80
DWgYwf9J0bJm3Ka6LAKznhFfKHO5HZqlLhB0CHxVYbMu0GmzDB+avJNJc2647DBSaOTl0roMJZQ+
supsxPiVpxeU88Y2r1VTPXNoxS/LgaKHnuh096JUAHfGYBbrNZIgkWxhO+MuK3Roeqf3V22Ynnm6
+20o2mEVS/baqzRzYdTyZ73AGVYr6ILHqKgVtUk717vyOuVU6QULvYdv5jyWZpcvEi5IrlHzyCvg
n6NQcFo31UVAh1W6yjIrHrdDH0eHFixgJ8o/47ZQ4F7RnlSCV50CMTgOa+drFsnXtVFy4Q3zssDz
b/RWXJ6LvOqOnRqBPVk9yWL/PMiy4z6sztMsvmzTKIL376Mq6jbdkeka30dTaoD4d5q+Dhq6dEjg
t+ONao5nXgFkXgE/s0LMs591msn76muY0+tOAO3BzGFpoF2WxtdKAPGTxrlNgYCD8DkpVShaSW3A
69VmXj5eNiOMsRYa8GA0Vxx2tJHrBSK/AGQCqj4uTACtqk9tQQ2I7PokgytAAC5Ue29GfLpmpqAT
+IJYoJY1GyWx0rXjKSDrBQFBo6oD4sE7LAQ5QRU0hUwQFqSGlZPmsOdTQWdIqGnZ8BssPf2ewXdI
BPEBP8nPI0a/hhIJnX/IEYagScgiJiFeuwez4546hCuBiFsGWb5MRCSDp7lygW7+VhNRjky404i4
JzH7azT5QHESEgFKXBW6fDcQKmGHtgIAABhJRFG2iKcgRH1JRYSFiO8qtwcY09lCzstLh1BMNsPV
KGIzgyAtFNFaYEaHmYjfLAI5G2UC3hkMmaN/UkSs54uobxTxXy4iwUJSz3oRG1oEiTAdDnsRNaYi
frRiFR0nwp1AxJYGQSbfNcC5qUINMCg2vohEaxGTmgSnCkGq5zwEhKwVoWskYliVLaiKqLYmvEX4
eCWLeNcVkS/8cJz1RDTcteEaOULEIkSkPBAyBwxnixjaMPD4JKj2oazOwBW2J7qIuHmgxN4gM/qU
bmCSwzsU8Xljp4fOU8Rul95Rn+G+Li0iWzvx8cqhn299k6sxOOI4nnki+Pf0fiX5xY1KVoBwTYks
htkse5EyOOQOYM6CuUT/vRRpRVsUFJ5INMA03zRkHojMh2jUFuuGnMSI8vNOJCk52YpX99fykC3B
dA0rg3wmI6+RQF6D3hyaVUfOEzmoE1SWdZX4FmZjMYrm/4qnnsT9dGrOf4insniT7qCmib96E0qR
qQOesIB3/SIaqx6go0e5l6AJqJxghf8QMBe/ihE5Uq2gw4SmzWsohYA59QEhREufVwD//wlCX7FF
qPSjckSmL9ittOCRyTFMCGq/FNl1OwlLvVGHC7v2yksCi+Q6UHLrLot19XjooujroNTWykal7YwT
xGUXtT7ZVzt+tpyuvvHlLF7jXxecoF3qLi2pho8bFP7SLuTzOPads1ZIGxtC5Bgfav6+hcG3QD5Q
QINIhSTbOe7VEcPyGjwkSKwIkQgZYcy0cxfygHlbiWj6t8T3vWNoUSPA5DpckFfg6kuFYj6Uw2dH
LeZ+rG0GN7GOGyHdXGdSd5IKOecy6wBNCInnPpYv4MnRMAyiaO6YBV45KEKTwQKUcbSa9mc41gAD
w3CbD0qno8aXLDCx84Twy1e/91wCtXYeiMsuAxrdh2l0pI4O5o5QIC49xbuTo+E4aLRypefplZEB
JwzkWlrXpjfi9tZox74vW8uYIEsBbnUEJ8xZYM2tr6M41Zetqrqg0lp7FhgeaPokh3CWtVdjGXKX
xhUGcxI2g5KBgXeEiofqOeehBlqrHZgdqZH866DLtQWq5cgoQjFYDFaXHxV+ddyo4Td0fJHPxhpY
MNfCJdg67JWKsZ7j6e4vpU4pF7EUySvXVA5DXUKfrvTmvdGukzpyhSpGvmkzLzzra32LcA+aHbKX
UYcgZ+xS4tvQuzE1ThkLakHU92u1jT+rCKo6p7qDMyMVpIu2UC4z1f4se5UF3o/zkaCzV2sccgqA
iEihkA9GAMdb3cPs08jnVpqcVJqyNYysAbbX3bQUlSg94cAaySnXZyJfWJ5zmCbZutWM07CHPN/J
a1+BkjbGHmZWrnmJjOxq9IKLZAzqmVljTqoDuRyN4cxASCaPpFsSnngx9voJIH1+0rjfErW81zql
WDi+/dBbkEWM4bbg0kV4JKeUKuxW6xTI/nkRcc3NVc1sHnR0B+ZgRkp/5Wb9qdOlObsCX6ZTBXeL
BuBZnB3njqst4Nb3p56pBkf/OoyfD2POrj8cxk1db8sdZVf+6s1hLJhQqmZohsJxR1nz77xWwUYd
MSJTF4hlhFh/HMbCYJhEl64LZ7QpaqtvDmNOYNjDaH4pQpr1HxmsI7Dw/jDWAeVD2KIQBln5l7Jr
q6ZqXUjOcIF8U7UCb5MuK27+iO4aOl4oSIe9MStaQ5Kg26X5Wdc1N0hLrw07goVQUkwJfNk47dMe
hnqokupV+rGOduw8HrRqpSoIRUA8zQ7xi8ivVJ1MEQoKAL7BMzBxyu4cjHfnkiE/pESI1AvHqySA
bON2WQzDo6Vg6FkXox238zRrocrnVjQPso7Kms2ebyiUYZ2kXkWaFB+1CYTIBL6vXPrGoWT1mK1r
bnWEb1tqoy6WGvMgj66RXNh2UXGDjs1pnqBKVMqmdBT2Un/sOXE8H2snv5Ab85uqqtdOwSiuEp1B
A+8wnEWGSURlbuecycRYhabGs95rr+Ro/Jw0+S064ScYDn6DibkO84QPO3bqHBGzU93Av6LpjLMx
tx9HB3YG7nfF3Fbbk8HKsjlc32IuNfRwfBMZM9SlIl9D18rO2Nc4cUjFGZWFuzCgZm1puYtrTlIu
O2O4HwP1HHlw/gP1rMD3YtSgtcK+rDQbvXB8xxCQ8oVzsgyutIBIayOyUeZIiVj9SnY6JEXqk0Zx
oHWN29G2g6VhtSdpj6yKVVr2rKrIWtOmysk3wIuXNnhIxyPr7FT9S97EZ42EcnWh58u2V5F8GrYu
IFICyXquut5mGFJEpRA9sCIjXdT6SH1frmNSAUROywFrZ0DwmIPmV345buwC80alhrPix5k5L3UE
ZVITe2W1/hyG2VUjJzInNveUHXPCFqj2JnRntXTdKOZV33lf8Op1ZnVSYWhcx4tWSqAOmSxXu6J4
Cp+BasYwyodWnAbLLAENlAl0XFA4n3MXMcyEPBMrkBO3s8GmF6D5UCjfEBd4OCpnG6vXSrQlJaRW
JHc8dGtwsThRguT2dJI9ZKRmuDHni15H0hVnrxvLtVhTpBiHapJgmUHc3qRI8UHdkah2CySprp/E
UneFN/bXlFb9LO0Te2lU5mliqocYRKHA5zkXfVpVXJcqoq++ciR70G1hWpDKdyhTAfy7yHB5KjOi
CqKohyZsvoSJhvUfxD29wTXJS7YcUgjaeYmQqDpvIQwuEbqFml6l7akzVJdarj2GQhK8yv1DLR7u
u9A579X0JkjjcJ4YI8bHtTyrJMNb2UYYrnKPG6Z24aplBQRn3KnCMNqGIyTAQXXXY9NRToglc1bp
xBKOJ2yfPWo1XhAvpTz6knbZF6X0B6y09U0ph99SEw6OUoP5zTMM7EjNzprM/hyW0gnEp2PbSWSa
LcbS9DFkxkQRZkBDp0QB+uhIX+tiWKMpf5qVWON24O5mvmfd1SPxVuRpzmGbY8hUJcgad7SYwJ47
+oUaZba0KISJyb+uxadr0fhjzZfSG2Zhw/t7UfzZ3/cimQjXGCwUWbhX/GQzqx2Yb+/LlwxFVw6Q
nHAsmCsqIvk4Kf24FJ0D/h0pb25T+ogyms//QNIKXa1fL0W0axwbm1uH/+Oj/NJrlzBCNIuiSi5T
Bd7rWaU2VAaHJuDig7feqQ6qmSQVOB3nDxTlvo3Z6K97Kb3RJXaiZt0Pbecv88Y7LCmKFnmQQp8k
1mt061yuFU75EKlDUhFsNjMHEqM3+Cs1N1EGyL1zSXIjIepXI7yTXVRD/SiJ+NRwukc9l7KlT+DX
OMShmR2c9LpgczjhmZQXl6WcGYvM10Y05Mx2gXtmDPK+RH+vzmZlU963Qb2CuTSsZdW+l3pl5Xc1
HLLeO7Ss+jylMDiL4GzNjKL72tnSbVwP8TyMlBvNqO88m+oKlvb2WtE088ILKAFQKK8hx0TlElD1
BjuAbI0vB0ctuVeAvHCmF/DkRhU2plXM/Ca46lX5OJGNrV4na63sNpUenNBgimBLSvMeoQW4lvy2
c5jI5V1DuJ71yBWkkXeXVeadExIfUxzStYfKcR5Ktboox+CLkfUPEYnlAgXikWq4eYmxFcU1oztM
fFzgwxpJ5VFqvBUV3Rt8Ic+xmDsfKRTPQznAqUnFetIo7OQohD8wM5QaP1NZv5SMjo6SsJ01JHqn
Xq+chL7prUOpMeEcxGd+0chLu+pvzUo6VrsCUWyrPrazFu6qk1zkUIugBRaIV+epuh7qbm1Ti1qU
AQzXfIjtdWT55SKUuaLM1u2XRvNEwuSn1qAell732bWtFW7pl6bcoOaSopwqOcW6xAa9hwc/8yLy
QTK3WV933kzvRk5SuTzCsQiCsSq5awJTd95l7YlsIS3Io+A3y/sQbyhUFS87Tz7yQqufm2q4xlj+
Nqn1Q0eBXx2N5m0dFlBwvc+0Q7fUGiSsUtQMSXRTqAc6PjS+8S4Ni3zhqRzGVv4F6is3VNXdSg5C
mvwpLWLa2kutjW4GCSKNpuK0rijZ96RCGyLI8jN9cC4iHRpzPfQkwll32vRtt+xtNEcsSGrsldKm
+xuocxcD+K6GXRvhnLSpXfyQ6NpS/ysrCcZtCEcVhlNwS4s5ZgUG1pK9Bg2+beZ2bdXrtCIPNboy
P+wV1Z1rmXwyQN3QU1zJkxCz0FGSrugjw/1Mi3Fhqcl5kBLSYkxjzgONa7/3Rnrm2SbqC1mstRtd
O5aG75GMe4zkldeZVS21oQ8Xvm8hdJZBIba+oxRMd8DSv5ej/NWpHAzo4/N8GKguK9YMKQ1/aQ4g
i4ekuPabahPryOIHw5Gdjcd648CypbNDRY/qrU1lsrSH72pVfvOk5qTL6itgwmd1G0YrqOSLMerP
NIc6viLjAgzjXZ2FDWInjeO387Kuv+dSkiCh2glghbUJivIbUuxc6BmUJjUjiO87Gwcq/FNxQpBs
WlQ0pRT4jOZQQlKJzYcaszuYYnCSOJBPKqnsqf43zcof2+Pa1dq5WnrXpt9vQioK6AYgWVUXVUx4
RLG00kEFJ8iP+HBSa7+/qQ2clKlqLOOe9jFyr+oyTY2STZexJWzzLC6DcJn17nkWa4L24IImkrwb
TKsvsty5cVz9UOsHbLlTh+h6iK/dnOY4hggrr7bju7Kr8LzrENnBUU9wntjYRvjFMjWS8raLVhyr
6AWr/n2fZphw68EKR7FjDvTrQc/aw4I+1YIL4CrXW5UaiYHMr22vfTnADaDS9JlhZp9cOz32XVOf
R0WMJHJ7FaDhNVPRMXAh2cHXKZVl6sX8bdveGGZoH45pc093qJk5mJvNSMJ8DMgKae6N0ndHV7gv
/DJY2450hV/Zvamxt4vYsom/bWmO1g10J8zPzuUC81zMQe8UO3HntY06czL0mMzgDgA9WcZtkjPb
yFMZur5cr+I6u2+c4AuFBH3euelqoAQ3U3jkhEJE0Z0Gm7Du0cJxIPHNzTYwj2irEezrwC2QpWXT
oJnW6O2tP0RXHXfivA4pCwVGFVJBNzwY5wPLDZm6RRPybyRuJFnSiCquHp5hP5CR2lnd3JO7Dilm
89bAAwGF20cjMy5DL9/21NkJFsM7mvR0+0qJpdekp8hCFueWgV+mDSHcslL4l8pRHeclOAa1WUZ4
Hd2hERMfVWNxq6lsfIx4v0ho86JP/tgV8cpxw1sue/kkMJEy5f4/qgLvwgqKT84YHWoSwaKF+Cw8
fdp6g94dusAnrBQB56zVwTUifrNQLesh6DMJAQDsIIosH1dDZl8rblIsDUFQS9GmWOY5kgVt3LhH
cjlsTLCDPM9WXUWR/alPQXnbrnQceN6mhC7qRWjx9WGO/nHG31v5ZRahgJM5srdEsOAhR1dvhUDw
V10O4PMV5iWp6edMN9duHveHo6d9D+XO4ozFAlZVIYjaPexI04oJzE0yeTkbWH4hiYISDFBoRuWr
WbXn9HGDJQpP5AISpzaCmKAWLZAephRu5FQ9Q63Wn9eBG9JGzE+CNmaq63I9jEgYN5qIvOXoMKQZ
MAcvz30nLIoK1U3nWVjGS4RgHn0PVmJhe+WKJqo8z5K2XWQyIrnRKE5V80uCGQfmUK4xTwrpk192
t6VDWpkGzhyNTbyjUCPwGtIfj/Rioer+TW0i5OzG9VHjYaKeyM6tnjaXXtw5cxpn3TLJJQSWTfaT
1tar3pPiBd3MI4nIiQ0ZynO8b+9zL8Fsifuc2eIKQevIhIc1FsG2o9Ek5eZ3U5Y+SQBWFlYiUENO
9N0SPSsAaQ/tUJ443OSzwTIecHVdFzbqlKmnHLupltJ8b/V5b0ZfvCRBBLgv1bndwAuUkpXn3su2
d0pggF03powzpQmPcyF2Dok+PFeD7MgtSn5mR189iZ5g0oWflJIWft5I11bi4DKfZEe6033pibnQ
Ux+BUeVZuixq1BZoKdJ9jAq+Dk6fM7sr8evI9BMbpI1tDzQUrYLKQNd9pyqfzFgz/dKLtBUmmnd5
y9b1S+Uq9lKS6UE708ygxvYxLGd0Wm/MgGcED14jvOw5p8v0rNdL9IRN/Vix64cwATqkBBj19KSA
iFrcjjHM7CH+pOqIzXQVR6ol38OqYPF3qTZzasTQs7g5zatylcqQ1uQB7UPgDzgkmuHWITb2WxNg
Up9ux6REcR0lDK8cj1QVvVUk1tF7uc1bOnQVUZ4VcfT5BSvTdzBhz2jXLorGWst9+d30CemsrP+q
JcR8bajMgzi8g6N5BOVygSryBne2+7BuLnS9OE4CaL4ehE00wrkpNfLYwrrufWXZG9Rv3SK76Svn
EG+xI8cgbZRD3No1XH+VYTZomGq58RKR7lM0047wZp3HhtyioBwqw7zwLDW6itPRvBtQU4clIxkt
/2DUebsYRAvPyKVnAt2/cEfGH/tkX5v7zY4E9OcuGe7UOqhXIRkh8EFvC7Oog2L6jbjDL3hYBy1m
B90HC4tgslEBA/rRJXMUG6tGfqSASvpn1t+YRvyag9JpA9OkI0ULxZFuHj9/AzmPa8TnafHKFzVF
UtdJjbVJjfNERdKGu0vJafVQVQUiSX0mQo4no0MM/1Q/LjMjxa2IUC7QHeO0FDVa/ala25nrlvJt
bPf5WTlK87yVdRLTBwU5vIWadPSl6KaPZnfkuPYqsIAiIdW2boQDUergwGt1+m2Xlod64Kef0MrF
AiDPH0x41RmVz1LBqlSHrjwzveIhHrAFzyquvqLrDvu87wluMj+9kjUSyFAnudKosZmds6w72Z0n
nQRTURGaDHFB86TeWI334CZ2t8I6Vl56Q14c2amDY1QmXdNvjy8doJIADQANoYuAyNJgWQsXR4a5
J3HMpO5wCQaWQqejPVaBeeUbxbldBxwpfnQXqNqnOnPyhRSq2zwyesyovNsSJHBAk6wxuZOTUTl0
C+dRlqMUHr2PmEx/lcqhEPz4mqTeSTg6nxQgrDNjFPm1Kn/KrVCdjTyE2qf2GbtchjSaNkNTIetl
VXd214AKgjc+KwxzATDp0o51BVWq4CpwuPSlBB2M42FAHQoF9u9ymR/L+OXZY3DSCgM9LayuGxPN
xp5TBX16bhgLv73QjGGF5zF+5REXriQ1cD8d1SIbreMqAh9bJssgrewLR82HdYzQ5aw1wyOUHh2a
/uVWLSitO6PlXUkiWxgD48Gh3XVeDOr3mB6UiZEnzTdgCs45bsVQDFOUMtwIfQu4xtEqjdP82MNY
g4o0eV9sX4Bqquem6ZC4DGR7EbCpSsmOm1I9zxELIoAY0YcOdKLPBoCYYsDP77k5CWK+mbn/OYpA
UpUNShmqn6IyDX6s8pjcOA0z0iBawcGAXGF2nwBVbehcH5PGXSl2/l33UbHx+3VT9PY8RWN6LmMZ
cmTGxVFuJsd9bSAzoF0MSnSha00/d4RApZyFX+TOvTUSqTqsIwcVL8m6LWsPKSJFPXVzFRkTm9Sz
KBIhxS9fJ0N9LHfBuojC6yDAWLqJv6LqdU/XOUNpER+KgSDLLqNmAdpJiCKnxK5MrqFLx20MzsiU
BWIOC2aCB+sUxPIDis3aoqqHL7mmQnFT4HxWI+D1ekQJCNWdyB3leZvK513c3fui+m+KPkBqBsUs
ozWg0aBxaBWYtAxC0TuAzfRQy93KKkWCKvoLNBUz2qYNMj70HgbRhUgH47GmLdEVOJAmNCoKl6Al
EL0LlN0QRam+2TQ1EoxQFZocCpJSfD4Q+LQ/HNogpeiH8IEX3th26J1EcOfpmWCFfV052rdBdFM8
HTRiIDosUjRIR5nouqRkBi1tGKjsW5+2jC36MzlWzvZMF10bV/RvRtHJSSx9iZJcswhFlyeh3RPK
5OU2jTKUVCra0xldIRiOcJFEp0ilZRRmot4sukgAISmPeP1VqMoyDhvygy16Tv9far0vocBOO6W/
lfzFTy8zKgCfsneeS/+jX3qtp+4e6B/5M4mr7qem6tMHe3KI+uM48YZMrXnEAUrDEsHB3RjnY1RG
eXF5x1nqvfxYUhCpBGQCZ0XQpHivN3P0u1n48xd8b131fpw/fvhfTark5w/2zBP8e1L/0SQ4B6iF
0eEHtPP0grbz0yQIiWpkNTFRpam7l5MgZAEmrwQbTXcCLud5EmBs/jwJ2GSDycWM63mlPL/j//F6
eBuZAkP638wCX/PHdoClZSBFTrfieRLoZ/w0CWwHSokIn1COf3rt6XpQeHoT14NxAJcZP9sniASz
sWMqMHhwCPjhCuzhphAH2uRJsA4AtNkgqrTnx81X/Wk9cDKolqpbJkfGHs4B5xmPbeJCwIiPL0gf
i4P25y8vczeowqz+ebc8v9X/8YnAg3h3Qzw/nGk3hAHySOyG53Xw6zUpOKHsFLwK9nUSBEN/4kJA
r5rz35J54E+vHdckuFcFqcLnisIeroTpx6J9AM5MxRCKLrl4vZsEpLttEU3oezsJ01cCOGaOfgfk
82+2g3pAomhTxmSj7Oe5+Px0JpwJoCgsCNaWKmZCvN7dDTphpa5xNzyfP3u4HZ5v7gmTQP5gATpB
BvV5DsSV++6OcERU+eQS/nod7eFUPC/UKVNhHiAwgtMUOdPz65epEKmUDffffjmK928SlMn5pE5I
QBFYxxXvl2+v6gcK1WFMe162y74eDNODRrwEhfsQor2/zgHHIhVlSzP29URQpoeL6oFFR9sQmeLT
69c8UjEOoCazTYgpxWtvA6bnZzTtRLDhDamkzb85EUQw4Zhg9vb1mlSmF1fMAzJEciSd9Pzp9cum
ECk1PyNy3s880niy4pwcOpMnww6AivD02pE/wGjg3HT2NWoUbbNpk8DdoFNnxE/tad+Df/1lJaiE
zvxYh4uxp5fDyxKdciboB1BnoQa+bodfVwImtSg0kHELnuA+H4/T70kLrLFQ/qc/vHtTYP+HORBQ
5b09Hp8/2JT1YB6QThIQMA2vz/vXABo5J9rgokO+l6mU0DaddjJoT+ojTIH9cjQQE/w0CdwRkLss
DB/l56Wyp1MhxGcnTgVhMq0G8A8vRZZfD0mFErUD7Us4QezncpgeQjoHioiYICj8Zk9gvI33LNSF
fb0oXlL+KQeDdaDJCMwhGveb05HrFLww94T+enDs5XoQnI/JewK6pa3Bpt89FRwPVKEVGe+7fd0U
kwuPlJt0R3YIlM3nSXiXXMoH6HNToH7p/exfeeEl652yKUgmNBlvp5eOw66mlOqQTqHOuK8rYfp2
IEKkH//3wfCu8Ci2A57F4Of29o6YHjdplBkoK9rmbzoy3JNo+2ChubcFBsFgn3gwmtiEmsAbYRw9
vX4NFmhLYZCNRMne9ie16VUW+8CwALHAGn8+GIkJfgoemQTdEf+jfyde+1pwEuXCieuBk8Gh1EKZ
4embvs+waVeTYKPyt68FSKF+PG0SKDNQWjTJsn9Thxc9ew0pCVPcI/u8Hp6D2ynXJRcBDAQip5fk
csf5AAFUJ2jY17KTUO+eth40ckcA5rSoXtbDu/NBFuohRFZCKZn32r/ASfuIWgslBADw2ksV9t0k
sCkQTuGY3NfjUeimT1wJ2oFjywaU6ufT8X30SM4lCAnIpu7rSpicR2hCbZxSMzWn5+uSr/ruupRV
mSbe3p4J0y9KizalUDcgSn5+/ToJiCqoMg5TL1tvD8+E6dEjnTocV40nE8mflgCxs4JgEkWolzWy
p7tBuK9MPBLsA9xVTYKm30XQT5MEeUig3/bzcpg+CRTiWQe6UK56eu0IE1SHDp7jPMcRe3tFTE8r
DQJk1AIICJ6ngq/609YQPSquD4B++3pFvKPz/XNSgKi/KnToqSA8vUgWfp4E0I6A/IRg+J5uCn16
2KiLG0A0n36TRoi+tQMxBr786xWyl+fDO1n5f74eCItoSAL7/F0pWjkQNTfyiH2NoI3JwaNANgFk
4Jx8edw7ImiRWbMc9vV4fGd/889XAt1Ki9QZHcXnNc+B+/PJAFOG0iP12X0NHvXJETQrATYU8ZH2
u+NRPSB4QkPrpaKzf8EjwsNTAydAbhC7QfM9F9Xel5rkA37IAYq3kXjt66YQ9kmTY0hqsGTOQvLz
590ARNgCyQHwcV/vycnfXsCgNRIlWPy/TaVMGIYGKIZ9nYTp+aRoydCNEKX419X+80rgXNQdtsLe
JtX69NjZAr4lA27FRubptSNshC8BuAlVwf3MpV66hlNKruRSNgANkqXfrASZy0FVsL/8B9vhf3CD
/M09nvtB/PhETQ621RMN9ply+9/+witv9/0AbxhVTyTLn37z05Bvn8d+5l2J//6PzSPObYugqsvg
oVafSqpvfvpaYn16p5e/f/mK79/8pzd7/V6v/3gYbMtN+YAQQQqleXj5oOebBG7zf8b83+PmVz6Y
6Be+/pt473//t58/7Jvr4M+jIza5fR3o6PHf/42eC5pXgpP946v+bwdPNo9Z+TrQm8G5RyYPPhNi
26/jvBmb7Tp57Pkm3rQ8kup1rDfjs96nj4+QUfXukTLrBDQfMHhal5u/5llV73oLrsrJb7HYxn+d
Z+XO+ecWmjz+Mv5rkZUsntex3sw/Ccvk8VflttrlmiGAN5MHX8fbNH0d580H/4jtetgk91n8WL8f
XpBeJn/0oyTflsEmfh3qx6cXjIrpw6NN+DrMm6E/YseebMsdcy4wRJM/9UmQejsOAsEpmDz26Sba
cYYJZtUHDF1V211z8hEb9DSr/vrP1NvG210z8xFb9GzzyAH8Og9vVstHbNGzDZLUO8b+iC0qxs6z
Xae7QBhPfqxn2/Qxewh2nV6CtP0B45cP28fXgX7Mu4CCTh8847O/jvNm7I/YpmfZzjn5iF3K0Ph6
bIcdn/wjdur5Jt+x0EXVZfKEn2/bzfvYEVOnj9iiF+WGI+D1U755nB+xRS/jzcN2R+woGhaTp+Uy
bpJdwZ2AaUwe/DogdKyCxx0zI5r/k8e/2TyUpARpveMuFTi0D3iD9K/ZFsn+XW/wEVv1ZiPeoEw3
5ePOg0zwDz7kWyyCrbfrS3zErhVfYsUOeAiqh13v8RHbV7zHcbYpml23lfYRe1i8w2kTVH9d3AdV
vut7fMRmFu9ytqm3u8b/iP3M+PXmr9mmvN/tK/wR2/r5PeZ/cC5+yt0n5OIv71A24+vy/3GmiqbH
9C3hb3bmhKKZMH1wahi7AjZRpP+AwasI+4jmdag3E/Mhe/lPLoqTHyuBSbLjghewj+kTU2/SoIo3
TfU62Jup+ZCt+ydPs6lT82nrb3ZNjYDPTp6aP9vOTP7oDSfBjitesEOmf/SGAlGyqy4nSruTh//M
CM2uvSpITpNH/4p1+eswPxajaFBNH/r3Ks5/fp67yrJ/Q2TfF2tf1R13/dnPtWjxGw/xdlP+x38B
AAD//w==</cx:binary>
              </cx:geoCache>
            </cx:geography>
          </cx:layoutPr>
          <cx:valueColors>
            <cx:minColor>
              <a:schemeClr val="accent5">
                <a:lumMod val="60000"/>
                <a:lumOff val="40000"/>
              </a:schemeClr>
            </cx:min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54</xdr:row>
      <xdr:rowOff>160420</xdr:rowOff>
    </xdr:to>
    <xdr:sp macro="" textlink="">
      <xdr:nvSpPr>
        <xdr:cNvPr id="2" name="Rectangle 1">
          <a:extLst>
            <a:ext uri="{FF2B5EF4-FFF2-40B4-BE49-F238E27FC236}">
              <a16:creationId xmlns:a16="http://schemas.microsoft.com/office/drawing/2014/main" id="{A01A2F1C-9927-A604-FAF8-06C5D359D850}"/>
            </a:ext>
          </a:extLst>
        </xdr:cNvPr>
        <xdr:cNvSpPr/>
      </xdr:nvSpPr>
      <xdr:spPr>
        <a:xfrm>
          <a:off x="0" y="0"/>
          <a:ext cx="2590800" cy="9761620"/>
        </a:xfrm>
        <a:prstGeom prst="rect">
          <a:avLst/>
        </a:prstGeom>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2583824</xdr:colOff>
      <xdr:row>0</xdr:row>
      <xdr:rowOff>0</xdr:rowOff>
    </xdr:from>
    <xdr:to>
      <xdr:col>25</xdr:col>
      <xdr:colOff>215900</xdr:colOff>
      <xdr:row>55</xdr:row>
      <xdr:rowOff>708</xdr:rowOff>
    </xdr:to>
    <xdr:sp macro="" textlink="">
      <xdr:nvSpPr>
        <xdr:cNvPr id="4" name="Rectangle 3">
          <a:extLst>
            <a:ext uri="{FF2B5EF4-FFF2-40B4-BE49-F238E27FC236}">
              <a16:creationId xmlns:a16="http://schemas.microsoft.com/office/drawing/2014/main" id="{AEF794B2-89D0-D7F5-EE0C-664FF6062B19}"/>
            </a:ext>
          </a:extLst>
        </xdr:cNvPr>
        <xdr:cNvSpPr/>
      </xdr:nvSpPr>
      <xdr:spPr>
        <a:xfrm>
          <a:off x="2583824" y="0"/>
          <a:ext cx="14243676" cy="9779708"/>
        </a:xfrm>
        <a:prstGeom prst="rect">
          <a:avLst/>
        </a:prstGeom>
        <a:solidFill>
          <a:schemeClr val="accent1">
            <a:lumMod val="60000"/>
            <a:lumOff val="40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none" strike="noStrike">
              <a:solidFill>
                <a:srgbClr val="000000"/>
              </a:solidFill>
              <a:effectLst>
                <a:outerShdw blurRad="50800" dist="50800" dir="5400000" algn="ctr" rotWithShape="0">
                  <a:srgbClr val="000000">
                    <a:alpha val="99000"/>
                  </a:srgbClr>
                </a:outerShdw>
              </a:effectLst>
              <a:latin typeface="+mn-lt"/>
              <a:ea typeface="+mn-ea"/>
              <a:cs typeface="+mn-cs"/>
            </a:rPr>
            <a:t>v</a:t>
          </a:r>
        </a:p>
      </xdr:txBody>
    </xdr:sp>
    <xdr:clientData/>
  </xdr:twoCellAnchor>
  <xdr:twoCellAnchor>
    <xdr:from>
      <xdr:col>1</xdr:col>
      <xdr:colOff>83706</xdr:colOff>
      <xdr:row>4</xdr:row>
      <xdr:rowOff>74039</xdr:rowOff>
    </xdr:from>
    <xdr:to>
      <xdr:col>1</xdr:col>
      <xdr:colOff>1094670</xdr:colOff>
      <xdr:row>6</xdr:row>
      <xdr:rowOff>5910</xdr:rowOff>
    </xdr:to>
    <xdr:sp macro="" textlink="pivots!G4">
      <xdr:nvSpPr>
        <xdr:cNvPr id="5" name="TextBox 4">
          <a:extLst>
            <a:ext uri="{FF2B5EF4-FFF2-40B4-BE49-F238E27FC236}">
              <a16:creationId xmlns:a16="http://schemas.microsoft.com/office/drawing/2014/main" id="{6406D2DE-95D5-73A0-8C2C-BD7F81C13196}"/>
            </a:ext>
          </a:extLst>
        </xdr:cNvPr>
        <xdr:cNvSpPr txBox="1"/>
      </xdr:nvSpPr>
      <xdr:spPr>
        <a:xfrm>
          <a:off x="83706" y="785239"/>
          <a:ext cx="1010964" cy="287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2C5110-5271-4452-B523-1A43A370030D}"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mn-lt"/>
            </a:rPr>
            <a:pPr/>
            <a:t>2,400</a:t>
          </a:fld>
          <a:endParaRPr lang="en-US" sz="2000" b="1" cap="none" spc="50">
            <a:ln w="9525" cmpd="sng">
              <a:solidFill>
                <a:schemeClr val="accent1"/>
              </a:solidFill>
              <a:prstDash val="solid"/>
            </a:ln>
            <a:solidFill>
              <a:srgbClr val="70AD47">
                <a:tint val="1000"/>
              </a:srgbClr>
            </a:solidFill>
            <a:effectLst>
              <a:glow rad="38100">
                <a:schemeClr val="accent1">
                  <a:alpha val="40000"/>
                </a:schemeClr>
              </a:glow>
            </a:effectLst>
            <a:latin typeface="+mn-lt"/>
          </a:endParaRPr>
        </a:p>
      </xdr:txBody>
    </xdr:sp>
    <xdr:clientData/>
  </xdr:twoCellAnchor>
  <xdr:twoCellAnchor>
    <xdr:from>
      <xdr:col>1</xdr:col>
      <xdr:colOff>83706</xdr:colOff>
      <xdr:row>8</xdr:row>
      <xdr:rowOff>173708</xdr:rowOff>
    </xdr:from>
    <xdr:to>
      <xdr:col>1</xdr:col>
      <xdr:colOff>1114898</xdr:colOff>
      <xdr:row>10</xdr:row>
      <xdr:rowOff>157234</xdr:rowOff>
    </xdr:to>
    <xdr:sp macro="" textlink="pivots!H4">
      <xdr:nvSpPr>
        <xdr:cNvPr id="6" name="TextBox 5">
          <a:extLst>
            <a:ext uri="{FF2B5EF4-FFF2-40B4-BE49-F238E27FC236}">
              <a16:creationId xmlns:a16="http://schemas.microsoft.com/office/drawing/2014/main" id="{4DF6972D-60EE-488D-87BC-0906D3C8C062}"/>
            </a:ext>
          </a:extLst>
        </xdr:cNvPr>
        <xdr:cNvSpPr txBox="1"/>
      </xdr:nvSpPr>
      <xdr:spPr>
        <a:xfrm>
          <a:off x="83706" y="1596108"/>
          <a:ext cx="1031192" cy="3391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A4CA4F-1FFE-48BA-BCCC-A2CD3FD0D8FC}"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pPr marL="0" indent="0"/>
            <a:t>11,997</a:t>
          </a:fld>
          <a:endPar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endParaRPr>
        </a:p>
      </xdr:txBody>
    </xdr:sp>
    <xdr:clientData/>
  </xdr:twoCellAnchor>
  <xdr:twoCellAnchor>
    <xdr:from>
      <xdr:col>1</xdr:col>
      <xdr:colOff>109106</xdr:colOff>
      <xdr:row>13</xdr:row>
      <xdr:rowOff>117781</xdr:rowOff>
    </xdr:from>
    <xdr:to>
      <xdr:col>1</xdr:col>
      <xdr:colOff>1298410</xdr:colOff>
      <xdr:row>16</xdr:row>
      <xdr:rowOff>5894</xdr:rowOff>
    </xdr:to>
    <xdr:sp macro="" textlink="pivots!I4">
      <xdr:nvSpPr>
        <xdr:cNvPr id="7" name="TextBox 6">
          <a:extLst>
            <a:ext uri="{FF2B5EF4-FFF2-40B4-BE49-F238E27FC236}">
              <a16:creationId xmlns:a16="http://schemas.microsoft.com/office/drawing/2014/main" id="{D7F1770E-769D-4AC4-A436-C2C2CF329CE5}"/>
            </a:ext>
          </a:extLst>
        </xdr:cNvPr>
        <xdr:cNvSpPr txBox="1"/>
      </xdr:nvSpPr>
      <xdr:spPr>
        <a:xfrm>
          <a:off x="109106" y="2429181"/>
          <a:ext cx="1189304" cy="42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prstMaterial="softEdge"/>
        </a:bodyPr>
        <a:lstStyle/>
        <a:p>
          <a:pPr marL="0" indent="0"/>
          <a:fld id="{3A49457B-C1AC-498C-BAD7-2EDFDF860D8D}" type="TxLink">
            <a:rPr lang="en-US" sz="2000" b="1" i="0" u="none" strike="noStrike" cap="none" spc="0">
              <a:ln/>
              <a:solidFill>
                <a:schemeClr val="accent4"/>
              </a:solidFill>
              <a:effectLst>
                <a:outerShdw blurRad="50800" dist="38100" dir="2700000" algn="tl" rotWithShape="0">
                  <a:prstClr val="black">
                    <a:alpha val="40000"/>
                  </a:prstClr>
                </a:outerShdw>
              </a:effectLst>
              <a:latin typeface="+mn-lt"/>
              <a:ea typeface="+mn-ea"/>
              <a:cs typeface="+mn-cs"/>
            </a:rPr>
            <a:pPr marL="0" indent="0"/>
            <a:t>$649.0k</a:t>
          </a:fld>
          <a:endParaRPr lang="en-US" sz="2000" b="1" i="0" u="none" strike="noStrike" cap="none" spc="0">
            <a:ln/>
            <a:solidFill>
              <a:schemeClr val="accent4"/>
            </a:solidFill>
            <a:effectLst>
              <a:outerShdw blurRad="50800" dist="38100" dir="2700000" algn="tl" rotWithShape="0">
                <a:prstClr val="black">
                  <a:alpha val="40000"/>
                </a:prstClr>
              </a:outerShdw>
            </a:effectLst>
            <a:latin typeface="+mn-lt"/>
            <a:ea typeface="+mn-ea"/>
            <a:cs typeface="+mn-cs"/>
          </a:endParaRPr>
        </a:p>
      </xdr:txBody>
    </xdr:sp>
    <xdr:clientData/>
  </xdr:twoCellAnchor>
  <xdr:twoCellAnchor>
    <xdr:from>
      <xdr:col>1</xdr:col>
      <xdr:colOff>121806</xdr:colOff>
      <xdr:row>18</xdr:row>
      <xdr:rowOff>34534</xdr:rowOff>
    </xdr:from>
    <xdr:to>
      <xdr:col>1</xdr:col>
      <xdr:colOff>1132496</xdr:colOff>
      <xdr:row>20</xdr:row>
      <xdr:rowOff>107732</xdr:rowOff>
    </xdr:to>
    <xdr:sp macro="" textlink="pivots!J4">
      <xdr:nvSpPr>
        <xdr:cNvPr id="8" name="TextBox 7">
          <a:extLst>
            <a:ext uri="{FF2B5EF4-FFF2-40B4-BE49-F238E27FC236}">
              <a16:creationId xmlns:a16="http://schemas.microsoft.com/office/drawing/2014/main" id="{EDC7B8D7-072A-49F8-8DF9-ADBEB1440892}"/>
            </a:ext>
          </a:extLst>
        </xdr:cNvPr>
        <xdr:cNvSpPr txBox="1"/>
      </xdr:nvSpPr>
      <xdr:spPr>
        <a:xfrm>
          <a:off x="121806" y="3234934"/>
          <a:ext cx="1010690" cy="428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9D722C-597D-4E3C-AC8A-D023B5C52CB3}"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pPr marL="0" indent="0"/>
            <a:t>4.0</a:t>
          </a:fld>
          <a:endPar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endParaRPr>
        </a:p>
      </xdr:txBody>
    </xdr:sp>
    <xdr:clientData/>
  </xdr:twoCellAnchor>
  <xdr:twoCellAnchor>
    <xdr:from>
      <xdr:col>1</xdr:col>
      <xdr:colOff>121806</xdr:colOff>
      <xdr:row>22</xdr:row>
      <xdr:rowOff>143125</xdr:rowOff>
    </xdr:from>
    <xdr:to>
      <xdr:col>1</xdr:col>
      <xdr:colOff>1178677</xdr:colOff>
      <xdr:row>25</xdr:row>
      <xdr:rowOff>2039</xdr:rowOff>
    </xdr:to>
    <xdr:sp macro="" textlink="pivots!K4">
      <xdr:nvSpPr>
        <xdr:cNvPr id="9" name="TextBox 8">
          <a:extLst>
            <a:ext uri="{FF2B5EF4-FFF2-40B4-BE49-F238E27FC236}">
              <a16:creationId xmlns:a16="http://schemas.microsoft.com/office/drawing/2014/main" id="{7BF4AC94-D9AC-4147-A6ED-FF68F2F2B39F}"/>
            </a:ext>
          </a:extLst>
        </xdr:cNvPr>
        <xdr:cNvSpPr txBox="1"/>
      </xdr:nvSpPr>
      <xdr:spPr>
        <a:xfrm>
          <a:off x="121806" y="4054725"/>
          <a:ext cx="1056871" cy="39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D20B52-A854-45F1-B199-8764FB0B723E}" type="TxLink">
            <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pPr marL="0" indent="0"/>
            <a:t>2.3</a:t>
          </a:fld>
          <a:endParaRPr lang="en-US" sz="2000" b="1" i="0" u="none" strike="noStrike"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endParaRPr>
        </a:p>
      </xdr:txBody>
    </xdr:sp>
    <xdr:clientData/>
  </xdr:twoCellAnchor>
  <xdr:twoCellAnchor>
    <xdr:from>
      <xdr:col>1</xdr:col>
      <xdr:colOff>32906</xdr:colOff>
      <xdr:row>2</xdr:row>
      <xdr:rowOff>136458</xdr:rowOff>
    </xdr:from>
    <xdr:to>
      <xdr:col>1</xdr:col>
      <xdr:colOff>1497828</xdr:colOff>
      <xdr:row>4</xdr:row>
      <xdr:rowOff>90738</xdr:rowOff>
    </xdr:to>
    <xdr:sp macro="" textlink="">
      <xdr:nvSpPr>
        <xdr:cNvPr id="10" name="TextBox 9">
          <a:extLst>
            <a:ext uri="{FF2B5EF4-FFF2-40B4-BE49-F238E27FC236}">
              <a16:creationId xmlns:a16="http://schemas.microsoft.com/office/drawing/2014/main" id="{506290F1-4701-DF22-4FB2-05B7C595D97C}"/>
            </a:ext>
          </a:extLst>
        </xdr:cNvPr>
        <xdr:cNvSpPr txBox="1"/>
      </xdr:nvSpPr>
      <xdr:spPr>
        <a:xfrm>
          <a:off x="32906" y="492058"/>
          <a:ext cx="1464922" cy="309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cap="none" spc="50">
              <a:ln w="0"/>
              <a:solidFill>
                <a:schemeClr val="bg2"/>
              </a:solidFill>
              <a:effectLst>
                <a:glow rad="228600">
                  <a:schemeClr val="accent4">
                    <a:satMod val="175000"/>
                    <a:alpha val="40000"/>
                  </a:schemeClr>
                </a:glow>
                <a:innerShdw blurRad="63500" dist="50800" dir="13500000">
                  <a:srgbClr val="000000">
                    <a:alpha val="50000"/>
                  </a:srgbClr>
                </a:innerShdw>
              </a:effectLst>
              <a:latin typeface="+mn-lt"/>
              <a:ea typeface="+mn-ea"/>
              <a:cs typeface="+mn-cs"/>
            </a:rPr>
            <a:t>🛒</a:t>
          </a:r>
          <a:r>
            <a:rPr lang="en-US" sz="1800" b="1" cap="none" spc="50">
              <a:ln w="0"/>
              <a:solidFill>
                <a:schemeClr val="bg2"/>
              </a:solidFill>
              <a:effectLst>
                <a:glow rad="228600">
                  <a:schemeClr val="accent4">
                    <a:satMod val="175000"/>
                    <a:alpha val="40000"/>
                  </a:schemeClr>
                </a:glow>
                <a:innerShdw blurRad="63500" dist="50800" dir="13500000">
                  <a:srgbClr val="000000">
                    <a:alpha val="50000"/>
                  </a:srgbClr>
                </a:innerShdw>
              </a:effectLst>
            </a:rPr>
            <a:t> </a:t>
          </a:r>
          <a:r>
            <a:rPr lang="en-US" sz="1800" b="1" cap="none" spc="50">
              <a:ln w="0"/>
              <a:solidFill>
                <a:schemeClr val="bg2"/>
              </a:solidFill>
              <a:effectLst>
                <a:glow rad="228600">
                  <a:schemeClr val="accent4">
                    <a:satMod val="175000"/>
                    <a:alpha val="40000"/>
                  </a:schemeClr>
                </a:glow>
                <a:innerShdw blurRad="63500" dist="50800" dir="13500000">
                  <a:srgbClr val="000000">
                    <a:alpha val="50000"/>
                  </a:srgbClr>
                </a:innerShdw>
              </a:effectLst>
              <a:latin typeface="+mn-lt"/>
              <a:ea typeface="+mn-ea"/>
              <a:cs typeface="+mn-cs"/>
            </a:rPr>
            <a:t>Orders</a:t>
          </a:r>
        </a:p>
      </xdr:txBody>
    </xdr:sp>
    <xdr:clientData/>
  </xdr:twoCellAnchor>
  <xdr:twoCellAnchor>
    <xdr:from>
      <xdr:col>1</xdr:col>
      <xdr:colOff>32906</xdr:colOff>
      <xdr:row>7</xdr:row>
      <xdr:rowOff>12700</xdr:rowOff>
    </xdr:from>
    <xdr:to>
      <xdr:col>1</xdr:col>
      <xdr:colOff>1968500</xdr:colOff>
      <xdr:row>8</xdr:row>
      <xdr:rowOff>176719</xdr:rowOff>
    </xdr:to>
    <xdr:sp macro="" textlink="">
      <xdr:nvSpPr>
        <xdr:cNvPr id="16" name="TextBox 15">
          <a:extLst>
            <a:ext uri="{FF2B5EF4-FFF2-40B4-BE49-F238E27FC236}">
              <a16:creationId xmlns:a16="http://schemas.microsoft.com/office/drawing/2014/main" id="{FC17C893-0A21-01B1-20C4-D164BFC22D8D}"/>
            </a:ext>
          </a:extLst>
        </xdr:cNvPr>
        <xdr:cNvSpPr txBox="1"/>
      </xdr:nvSpPr>
      <xdr:spPr>
        <a:xfrm>
          <a:off x="32906" y="1257300"/>
          <a:ext cx="1935594" cy="34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cap="none" spc="50">
              <a:ln w="0"/>
              <a:solidFill>
                <a:schemeClr val="bg2"/>
              </a:solidFill>
              <a:effectLst>
                <a:glow rad="228600">
                  <a:schemeClr val="accent4">
                    <a:satMod val="175000"/>
                    <a:alpha val="40000"/>
                  </a:schemeClr>
                </a:glow>
                <a:innerShdw blurRad="63500" dist="50800" dir="13500000">
                  <a:srgbClr val="000000">
                    <a:alpha val="50000"/>
                  </a:srgbClr>
                </a:innerShdw>
              </a:effectLst>
              <a:latin typeface="+mn-lt"/>
              <a:ea typeface="+mn-ea"/>
              <a:cs typeface="+mn-cs"/>
            </a:rPr>
            <a:t>👕 Quantity </a:t>
          </a:r>
        </a:p>
      </xdr:txBody>
    </xdr:sp>
    <xdr:clientData/>
  </xdr:twoCellAnchor>
  <xdr:twoCellAnchor>
    <xdr:from>
      <xdr:col>1</xdr:col>
      <xdr:colOff>32906</xdr:colOff>
      <xdr:row>11</xdr:row>
      <xdr:rowOff>114713</xdr:rowOff>
    </xdr:from>
    <xdr:to>
      <xdr:col>1</xdr:col>
      <xdr:colOff>1416764</xdr:colOff>
      <xdr:row>13</xdr:row>
      <xdr:rowOff>69444</xdr:rowOff>
    </xdr:to>
    <xdr:sp macro="" textlink="">
      <xdr:nvSpPr>
        <xdr:cNvPr id="17" name="TextBox 16">
          <a:extLst>
            <a:ext uri="{FF2B5EF4-FFF2-40B4-BE49-F238E27FC236}">
              <a16:creationId xmlns:a16="http://schemas.microsoft.com/office/drawing/2014/main" id="{2C41F0E6-3352-E455-CFF5-4818FA147867}"/>
            </a:ext>
          </a:extLst>
        </xdr:cNvPr>
        <xdr:cNvSpPr txBox="1"/>
      </xdr:nvSpPr>
      <xdr:spPr>
        <a:xfrm>
          <a:off x="32906" y="2070513"/>
          <a:ext cx="1383858" cy="31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cap="none" spc="50">
              <a:ln w="0"/>
              <a:solidFill>
                <a:schemeClr val="bg2"/>
              </a:solidFill>
              <a:effectLst>
                <a:glow rad="228600">
                  <a:schemeClr val="accent4">
                    <a:satMod val="175000"/>
                    <a:alpha val="40000"/>
                  </a:schemeClr>
                </a:glow>
                <a:innerShdw blurRad="63500" dist="50800" dir="13500000">
                  <a:srgbClr val="000000">
                    <a:alpha val="50000"/>
                  </a:srgbClr>
                </a:innerShdw>
              </a:effectLst>
              <a:latin typeface="+mn-lt"/>
              <a:ea typeface="+mn-ea"/>
              <a:cs typeface="+mn-cs"/>
            </a:rPr>
            <a:t>💰</a:t>
          </a:r>
          <a:r>
            <a:rPr lang="en-US" sz="1800" b="1" i="0" u="none" strike="noStrike" cap="none" spc="0">
              <a:ln w="12700" cmpd="sng">
                <a:solidFill>
                  <a:schemeClr val="accent4"/>
                </a:solidFill>
                <a:prstDash val="solid"/>
              </a:ln>
              <a:solidFill>
                <a:schemeClr val="tx1">
                  <a:lumMod val="95000"/>
                  <a:lumOff val="5000"/>
                </a:schemeClr>
              </a:solidFill>
              <a:effectLst/>
              <a:latin typeface="+mn-lt"/>
              <a:ea typeface="+mn-ea"/>
              <a:cs typeface="+mn-cs"/>
            </a:rPr>
            <a:t> </a:t>
          </a:r>
          <a:r>
            <a:rPr lang="en-US" sz="1800" b="1" i="0" u="none" strike="noStrike" cap="none" spc="50">
              <a:ln w="0"/>
              <a:solidFill>
                <a:schemeClr val="bg2"/>
              </a:solidFill>
              <a:effectLst>
                <a:glow rad="228600">
                  <a:schemeClr val="accent4">
                    <a:satMod val="175000"/>
                    <a:alpha val="40000"/>
                  </a:schemeClr>
                </a:glow>
                <a:innerShdw blurRad="63500" dist="50800" dir="13500000">
                  <a:srgbClr val="000000">
                    <a:alpha val="50000"/>
                  </a:srgbClr>
                </a:innerShdw>
              </a:effectLst>
              <a:latin typeface="+mn-lt"/>
              <a:ea typeface="+mn-ea"/>
              <a:cs typeface="+mn-cs"/>
            </a:rPr>
            <a:t>Amount</a:t>
          </a:r>
          <a:r>
            <a:rPr lang="en-US" sz="1800" b="1" i="0" u="none" strike="noStrike" cap="none" spc="0">
              <a:ln w="12700" cmpd="sng">
                <a:solidFill>
                  <a:schemeClr val="accent4"/>
                </a:solidFill>
                <a:prstDash val="solid"/>
              </a:ln>
              <a:solidFill>
                <a:schemeClr val="tx1">
                  <a:lumMod val="95000"/>
                  <a:lumOff val="5000"/>
                </a:schemeClr>
              </a:solidFill>
              <a:effectLst/>
              <a:latin typeface="+mn-lt"/>
              <a:ea typeface="+mn-ea"/>
              <a:cs typeface="+mn-cs"/>
            </a:rPr>
            <a:t> </a:t>
          </a:r>
        </a:p>
      </xdr:txBody>
    </xdr:sp>
    <xdr:clientData/>
  </xdr:twoCellAnchor>
  <xdr:twoCellAnchor>
    <xdr:from>
      <xdr:col>1</xdr:col>
      <xdr:colOff>32906</xdr:colOff>
      <xdr:row>16</xdr:row>
      <xdr:rowOff>89394</xdr:rowOff>
    </xdr:from>
    <xdr:to>
      <xdr:col>1</xdr:col>
      <xdr:colOff>1432976</xdr:colOff>
      <xdr:row>18</xdr:row>
      <xdr:rowOff>116731</xdr:rowOff>
    </xdr:to>
    <xdr:sp macro="" textlink="">
      <xdr:nvSpPr>
        <xdr:cNvPr id="18" name="TextBox 17">
          <a:extLst>
            <a:ext uri="{FF2B5EF4-FFF2-40B4-BE49-F238E27FC236}">
              <a16:creationId xmlns:a16="http://schemas.microsoft.com/office/drawing/2014/main" id="{5D504C4A-28F5-8059-577D-B0A86084BA05}"/>
            </a:ext>
          </a:extLst>
        </xdr:cNvPr>
        <xdr:cNvSpPr txBox="1"/>
      </xdr:nvSpPr>
      <xdr:spPr>
        <a:xfrm>
          <a:off x="32906" y="2934194"/>
          <a:ext cx="1400070" cy="382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cap="none" spc="50">
              <a:ln w="0"/>
              <a:solidFill>
                <a:schemeClr val="bg2"/>
              </a:solidFill>
              <a:effectLst>
                <a:glow rad="228600">
                  <a:schemeClr val="accent4">
                    <a:satMod val="175000"/>
                    <a:alpha val="40000"/>
                  </a:schemeClr>
                </a:glow>
                <a:innerShdw blurRad="63500" dist="50800" dir="13500000">
                  <a:srgbClr val="000000">
                    <a:alpha val="50000"/>
                  </a:srgbClr>
                </a:innerShdw>
              </a:effectLst>
              <a:latin typeface="+mn-lt"/>
              <a:ea typeface="+mn-ea"/>
              <a:cs typeface="+mn-cs"/>
            </a:rPr>
            <a:t>⭐ Rating </a:t>
          </a:r>
        </a:p>
      </xdr:txBody>
    </xdr:sp>
    <xdr:clientData/>
  </xdr:twoCellAnchor>
  <xdr:twoCellAnchor>
    <xdr:from>
      <xdr:col>1</xdr:col>
      <xdr:colOff>32906</xdr:colOff>
      <xdr:row>21</xdr:row>
      <xdr:rowOff>9506</xdr:rowOff>
    </xdr:from>
    <xdr:to>
      <xdr:col>1</xdr:col>
      <xdr:colOff>2113914</xdr:colOff>
      <xdr:row>23</xdr:row>
      <xdr:rowOff>47828</xdr:rowOff>
    </xdr:to>
    <xdr:sp macro="" textlink="">
      <xdr:nvSpPr>
        <xdr:cNvPr id="19" name="TextBox 18">
          <a:extLst>
            <a:ext uri="{FF2B5EF4-FFF2-40B4-BE49-F238E27FC236}">
              <a16:creationId xmlns:a16="http://schemas.microsoft.com/office/drawing/2014/main" id="{88EC66CD-0169-892B-BE78-F2D85CA5CE4D}"/>
            </a:ext>
          </a:extLst>
        </xdr:cNvPr>
        <xdr:cNvSpPr txBox="1"/>
      </xdr:nvSpPr>
      <xdr:spPr>
        <a:xfrm>
          <a:off x="32906" y="3743306"/>
          <a:ext cx="2081008" cy="39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i="0" u="none" strike="noStrike" cap="none" spc="50">
              <a:ln w="0"/>
              <a:solidFill>
                <a:schemeClr val="bg2"/>
              </a:solidFill>
              <a:effectLst>
                <a:glow rad="228600">
                  <a:schemeClr val="accent4">
                    <a:satMod val="175000"/>
                    <a:alpha val="40000"/>
                  </a:schemeClr>
                </a:glow>
                <a:innerShdw blurRad="63500" dist="50800" dir="13500000">
                  <a:srgbClr val="000000">
                    <a:alpha val="50000"/>
                  </a:srgbClr>
                </a:innerShdw>
              </a:effectLst>
              <a:latin typeface="+mn-lt"/>
              <a:ea typeface="+mn-ea"/>
              <a:cs typeface="+mn-cs"/>
            </a:rPr>
            <a:t>📅 Days to delivery</a:t>
          </a:r>
        </a:p>
      </xdr:txBody>
    </xdr:sp>
    <xdr:clientData/>
  </xdr:twoCellAnchor>
  <xdr:twoCellAnchor>
    <xdr:from>
      <xdr:col>2</xdr:col>
      <xdr:colOff>256866</xdr:colOff>
      <xdr:row>2</xdr:row>
      <xdr:rowOff>136770</xdr:rowOff>
    </xdr:from>
    <xdr:to>
      <xdr:col>9</xdr:col>
      <xdr:colOff>43191</xdr:colOff>
      <xdr:row>16</xdr:row>
      <xdr:rowOff>127001</xdr:rowOff>
    </xdr:to>
    <xdr:graphicFrame macro="">
      <xdr:nvGraphicFramePr>
        <xdr:cNvPr id="20" name="Chart 19">
          <a:extLst>
            <a:ext uri="{FF2B5EF4-FFF2-40B4-BE49-F238E27FC236}">
              <a16:creationId xmlns:a16="http://schemas.microsoft.com/office/drawing/2014/main" id="{A1FD2564-6B6C-4A05-8E9D-4E03540FF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481262</xdr:colOff>
      <xdr:row>2</xdr:row>
      <xdr:rowOff>26737</xdr:rowOff>
    </xdr:from>
    <xdr:to>
      <xdr:col>16</xdr:col>
      <xdr:colOff>281834</xdr:colOff>
      <xdr:row>18</xdr:row>
      <xdr:rowOff>73069</xdr:rowOff>
    </xdr:to>
    <xdr:sp macro="" textlink="">
      <xdr:nvSpPr>
        <xdr:cNvPr id="28" name="Rectangle 27">
          <a:extLst>
            <a:ext uri="{FF2B5EF4-FFF2-40B4-BE49-F238E27FC236}">
              <a16:creationId xmlns:a16="http://schemas.microsoft.com/office/drawing/2014/main" id="{17E141FC-DA2D-6F7E-C8F9-BC9DA950746D}"/>
            </a:ext>
          </a:extLst>
        </xdr:cNvPr>
        <xdr:cNvSpPr/>
      </xdr:nvSpPr>
      <xdr:spPr>
        <a:xfrm>
          <a:off x="7307947" y="402518"/>
          <a:ext cx="4038545" cy="30525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238785</xdr:colOff>
          <xdr:row>4</xdr:row>
          <xdr:rowOff>87312</xdr:rowOff>
        </xdr:from>
        <xdr:to>
          <xdr:col>15</xdr:col>
          <xdr:colOff>600249</xdr:colOff>
          <xdr:row>17</xdr:row>
          <xdr:rowOff>5327</xdr:rowOff>
        </xdr:to>
        <xdr:pic>
          <xdr:nvPicPr>
            <xdr:cNvPr id="25" name="Picture 24">
              <a:extLst>
                <a:ext uri="{FF2B5EF4-FFF2-40B4-BE49-F238E27FC236}">
                  <a16:creationId xmlns:a16="http://schemas.microsoft.com/office/drawing/2014/main" id="{7F2A98A4-0807-EF64-C156-703AEC13D9A2}"/>
                </a:ext>
              </a:extLst>
            </xdr:cNvPr>
            <xdr:cNvPicPr>
              <a:picLocks noChangeAspect="1" noChangeArrowheads="1"/>
              <a:extLst>
                <a:ext uri="{84589F7E-364E-4C9E-8A38-B11213B215E9}">
                  <a14:cameraTool cellRange="Sheet5!$H$4:$L$9" spid="_x0000_s6177"/>
                </a:ext>
              </a:extLst>
            </xdr:cNvPicPr>
          </xdr:nvPicPr>
          <xdr:blipFill>
            <a:blip xmlns:r="http://schemas.openxmlformats.org/officeDocument/2006/relationships" r:embed="rId2"/>
            <a:srcRect/>
            <a:stretch>
              <a:fillRect/>
            </a:stretch>
          </xdr:blipFill>
          <xdr:spPr bwMode="auto">
            <a:xfrm>
              <a:off x="7670895" y="838874"/>
              <a:ext cx="3388587" cy="235199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592221</xdr:colOff>
      <xdr:row>2</xdr:row>
      <xdr:rowOff>12701</xdr:rowOff>
    </xdr:from>
    <xdr:to>
      <xdr:col>23</xdr:col>
      <xdr:colOff>169779</xdr:colOff>
      <xdr:row>18</xdr:row>
      <xdr:rowOff>25555</xdr:rowOff>
    </xdr:to>
    <xdr:graphicFrame macro="">
      <xdr:nvGraphicFramePr>
        <xdr:cNvPr id="30" name="Chart 29">
          <a:extLst>
            <a:ext uri="{FF2B5EF4-FFF2-40B4-BE49-F238E27FC236}">
              <a16:creationId xmlns:a16="http://schemas.microsoft.com/office/drawing/2014/main" id="{08023700-1BEF-4CD8-9DB0-1F0DE51C5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308044</xdr:colOff>
      <xdr:row>18</xdr:row>
      <xdr:rowOff>93946</xdr:rowOff>
    </xdr:from>
    <xdr:to>
      <xdr:col>9</xdr:col>
      <xdr:colOff>76200</xdr:colOff>
      <xdr:row>51</xdr:row>
      <xdr:rowOff>76200</xdr:rowOff>
    </xdr:to>
    <xdr:graphicFrame macro="">
      <xdr:nvGraphicFramePr>
        <xdr:cNvPr id="31" name="Chart 30">
          <a:extLst>
            <a:ext uri="{FF2B5EF4-FFF2-40B4-BE49-F238E27FC236}">
              <a16:creationId xmlns:a16="http://schemas.microsoft.com/office/drawing/2014/main" id="{E529790F-53C5-4622-95DE-8160332F2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556742</xdr:colOff>
      <xdr:row>35</xdr:row>
      <xdr:rowOff>8794</xdr:rowOff>
    </xdr:from>
    <xdr:to>
      <xdr:col>8</xdr:col>
      <xdr:colOff>361358</xdr:colOff>
      <xdr:row>42</xdr:row>
      <xdr:rowOff>28333</xdr:rowOff>
    </xdr:to>
    <xdr:graphicFrame macro="">
      <xdr:nvGraphicFramePr>
        <xdr:cNvPr id="32" name="Chart 31">
          <a:extLst>
            <a:ext uri="{FF2B5EF4-FFF2-40B4-BE49-F238E27FC236}">
              <a16:creationId xmlns:a16="http://schemas.microsoft.com/office/drawing/2014/main" id="{72E79C9F-F283-469E-BD0F-C5E867329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538747</xdr:colOff>
      <xdr:row>21</xdr:row>
      <xdr:rowOff>29257</xdr:rowOff>
    </xdr:from>
    <xdr:to>
      <xdr:col>15</xdr:col>
      <xdr:colOff>457200</xdr:colOff>
      <xdr:row>51</xdr:row>
      <xdr:rowOff>63500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DB6A35B9-2204-4E0E-BCE1-5B83177483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96747" y="3869737"/>
              <a:ext cx="3576053" cy="552064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55295</xdr:colOff>
      <xdr:row>28</xdr:row>
      <xdr:rowOff>89364</xdr:rowOff>
    </xdr:from>
    <xdr:to>
      <xdr:col>14</xdr:col>
      <xdr:colOff>469900</xdr:colOff>
      <xdr:row>34</xdr:row>
      <xdr:rowOff>126999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21BA5D4-09C9-4203-A971-56860E6783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351695" y="5210004"/>
              <a:ext cx="1024205" cy="11349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417955</xdr:colOff>
      <xdr:row>35</xdr:row>
      <xdr:rowOff>165100</xdr:rowOff>
    </xdr:from>
    <xdr:to>
      <xdr:col>23</xdr:col>
      <xdr:colOff>196515</xdr:colOff>
      <xdr:row>51</xdr:row>
      <xdr:rowOff>63499</xdr:rowOff>
    </xdr:to>
    <xdr:graphicFrame macro="">
      <xdr:nvGraphicFramePr>
        <xdr:cNvPr id="11" name="Chart 10">
          <a:extLst>
            <a:ext uri="{FF2B5EF4-FFF2-40B4-BE49-F238E27FC236}">
              <a16:creationId xmlns:a16="http://schemas.microsoft.com/office/drawing/2014/main" id="{C0AEE5E2-3608-4658-A62E-FCD2305F3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392555</xdr:colOff>
      <xdr:row>20</xdr:row>
      <xdr:rowOff>143042</xdr:rowOff>
    </xdr:from>
    <xdr:to>
      <xdr:col>23</xdr:col>
      <xdr:colOff>144379</xdr:colOff>
      <xdr:row>33</xdr:row>
      <xdr:rowOff>25400</xdr:rowOff>
    </xdr:to>
    <xdr:graphicFrame macro="">
      <xdr:nvGraphicFramePr>
        <xdr:cNvPr id="13" name="Chart 12">
          <a:extLst>
            <a:ext uri="{FF2B5EF4-FFF2-40B4-BE49-F238E27FC236}">
              <a16:creationId xmlns:a16="http://schemas.microsoft.com/office/drawing/2014/main" id="{F08030F6-EA63-4611-A7E7-73AC063A9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147206</xdr:colOff>
      <xdr:row>27</xdr:row>
      <xdr:rowOff>108286</xdr:rowOff>
    </xdr:from>
    <xdr:to>
      <xdr:col>1</xdr:col>
      <xdr:colOff>1976006</xdr:colOff>
      <xdr:row>37</xdr:row>
      <xdr:rowOff>28075</xdr:rowOff>
    </xdr:to>
    <mc:AlternateContent xmlns:mc="http://schemas.openxmlformats.org/markup-compatibility/2006" xmlns:a14="http://schemas.microsoft.com/office/drawing/2010/main">
      <mc:Choice Requires="a14">
        <xdr:graphicFrame macro="">
          <xdr:nvGraphicFramePr>
            <xdr:cNvPr id="14" name="Order Mode">
              <a:extLst>
                <a:ext uri="{FF2B5EF4-FFF2-40B4-BE49-F238E27FC236}">
                  <a16:creationId xmlns:a16="http://schemas.microsoft.com/office/drawing/2014/main" id="{051B41FE-D072-485C-92AE-BEF5DD73CE44}"/>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47206" y="4908886"/>
              <a:ext cx="1828800" cy="1697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159906</xdr:colOff>
      <xdr:row>39</xdr:row>
      <xdr:rowOff>46120</xdr:rowOff>
    </xdr:from>
    <xdr:to>
      <xdr:col>1</xdr:col>
      <xdr:colOff>1988706</xdr:colOff>
      <xdr:row>47</xdr:row>
      <xdr:rowOff>95984</xdr:rowOff>
    </xdr:to>
    <mc:AlternateContent xmlns:mc="http://schemas.openxmlformats.org/markup-compatibility/2006">
      <mc:Choice xmlns:a14="http://schemas.microsoft.com/office/drawing/2010/main" Requires="a14">
        <xdr:graphicFrame macro="">
          <xdr:nvGraphicFramePr>
            <xdr:cNvPr id="15" name="Gender Value">
              <a:extLst>
                <a:ext uri="{FF2B5EF4-FFF2-40B4-BE49-F238E27FC236}">
                  <a16:creationId xmlns:a16="http://schemas.microsoft.com/office/drawing/2014/main" id="{A565A39B-70FD-4E58-B2C6-460E032180D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59906" y="6980320"/>
              <a:ext cx="1828800" cy="1472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32906</xdr:colOff>
      <xdr:row>0</xdr:row>
      <xdr:rowOff>55579</xdr:rowOff>
    </xdr:from>
    <xdr:to>
      <xdr:col>1</xdr:col>
      <xdr:colOff>1576236</xdr:colOff>
      <xdr:row>2</xdr:row>
      <xdr:rowOff>123345</xdr:rowOff>
    </xdr:to>
    <xdr:pic>
      <xdr:nvPicPr>
        <xdr:cNvPr id="21" name="Picture 20">
          <a:extLst>
            <a:ext uri="{FF2B5EF4-FFF2-40B4-BE49-F238E27FC236}">
              <a16:creationId xmlns:a16="http://schemas.microsoft.com/office/drawing/2014/main" id="{99179440-3754-4593-841B-7C4419D82EA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32906" y="55579"/>
          <a:ext cx="1543330" cy="423366"/>
        </a:xfrm>
        <a:prstGeom prst="rect">
          <a:avLst/>
        </a:prstGeom>
      </xdr:spPr>
    </xdr:pic>
    <xdr:clientData/>
  </xdr:twoCellAnchor>
  <xdr:twoCellAnchor>
    <xdr:from>
      <xdr:col>10</xdr:col>
      <xdr:colOff>469726</xdr:colOff>
      <xdr:row>2</xdr:row>
      <xdr:rowOff>177452</xdr:rowOff>
    </xdr:from>
    <xdr:to>
      <xdr:col>15</xdr:col>
      <xdr:colOff>135699</xdr:colOff>
      <xdr:row>4</xdr:row>
      <xdr:rowOff>20876</xdr:rowOff>
    </xdr:to>
    <xdr:sp macro="" textlink="">
      <xdr:nvSpPr>
        <xdr:cNvPr id="23" name="TextBox 22">
          <a:extLst>
            <a:ext uri="{FF2B5EF4-FFF2-40B4-BE49-F238E27FC236}">
              <a16:creationId xmlns:a16="http://schemas.microsoft.com/office/drawing/2014/main" id="{ACA354B8-3BB9-201E-C316-D12EF38A6759}"/>
            </a:ext>
          </a:extLst>
        </xdr:cNvPr>
        <xdr:cNvSpPr txBox="1"/>
      </xdr:nvSpPr>
      <xdr:spPr>
        <a:xfrm>
          <a:off x="7901836" y="553233"/>
          <a:ext cx="2693096" cy="21920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dk1"/>
              </a:solidFill>
              <a:effectLst/>
              <a:latin typeface="+mn-lt"/>
              <a:ea typeface="+mn-ea"/>
              <a:cs typeface="+mn-cs"/>
            </a:rPr>
            <a:t>How our customers like to buy</a:t>
          </a:r>
          <a:r>
            <a:rPr lang="en-US" b="1"/>
            <a:t> ?</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2.681190162039" createdVersion="8" refreshedVersion="8" minRefreshableVersion="3" recordCount="2400" xr:uid="{E5812423-2918-4408-B135-8C2CFECE3E87}">
  <cacheSource type="worksheet">
    <worksheetSource name="orders"/>
  </cacheSource>
  <cacheFields count="20">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26802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x v="0"/>
    <s v=""/>
    <x v="0"/>
    <x v="0"/>
    <x v="0"/>
    <x v="0"/>
    <x v="0"/>
    <x v="0"/>
    <x v="0"/>
  </r>
  <r>
    <x v="1"/>
    <x v="1"/>
    <x v="1"/>
    <n v="30.6"/>
    <n v="61.2"/>
    <x v="0"/>
    <x v="1"/>
    <s v="M"/>
    <x v="0"/>
    <x v="0"/>
    <x v="0"/>
    <x v="1"/>
    <x v="1"/>
    <x v="0"/>
    <x v="1"/>
  </r>
  <r>
    <x v="2"/>
    <x v="2"/>
    <x v="2"/>
    <n v="109.4"/>
    <n v="328.20000000000005"/>
    <x v="0"/>
    <x v="2"/>
    <s v="F"/>
    <x v="0"/>
    <x v="1"/>
    <x v="0"/>
    <x v="2"/>
    <x v="2"/>
    <x v="0"/>
    <x v="2"/>
  </r>
  <r>
    <x v="3"/>
    <x v="3"/>
    <x v="3"/>
    <n v="37.700000000000003"/>
    <n v="263.90000000000003"/>
    <x v="0"/>
    <x v="3"/>
    <s v="F"/>
    <x v="0"/>
    <x v="0"/>
    <x v="0"/>
    <x v="2"/>
    <x v="3"/>
    <x v="0"/>
    <x v="2"/>
  </r>
  <r>
    <x v="4"/>
    <x v="4"/>
    <x v="2"/>
    <n v="56.7"/>
    <n v="170.10000000000002"/>
    <x v="0"/>
    <x v="2"/>
    <s v="F"/>
    <x v="0"/>
    <x v="2"/>
    <x v="0"/>
    <x v="3"/>
    <x v="2"/>
    <x v="0"/>
    <x v="2"/>
  </r>
  <r>
    <x v="5"/>
    <x v="1"/>
    <x v="4"/>
    <n v="83.5"/>
    <n v="1002"/>
    <x v="0"/>
    <x v="2"/>
    <s v="M"/>
    <x v="1"/>
    <x v="0"/>
    <x v="0"/>
    <x v="3"/>
    <x v="2"/>
    <x v="0"/>
    <x v="1"/>
  </r>
  <r>
    <x v="6"/>
    <x v="5"/>
    <x v="0"/>
    <n v="55.3"/>
    <n v="55.3"/>
    <x v="0"/>
    <x v="3"/>
    <s v="F"/>
    <x v="0"/>
    <x v="0"/>
    <x v="0"/>
    <x v="3"/>
    <x v="3"/>
    <x v="0"/>
    <x v="2"/>
  </r>
  <r>
    <x v="7"/>
    <x v="6"/>
    <x v="1"/>
    <n v="40.299999999999997"/>
    <n v="80.599999999999994"/>
    <x v="0"/>
    <x v="3"/>
    <s v="M"/>
    <x v="2"/>
    <x v="2"/>
    <x v="0"/>
    <x v="3"/>
    <x v="3"/>
    <x v="0"/>
    <x v="1"/>
  </r>
  <r>
    <x v="8"/>
    <x v="7"/>
    <x v="5"/>
    <n v="35.700000000000003"/>
    <n v="392.70000000000005"/>
    <x v="0"/>
    <x v="3"/>
    <s v="F"/>
    <x v="0"/>
    <x v="0"/>
    <x v="0"/>
    <x v="3"/>
    <x v="3"/>
    <x v="0"/>
    <x v="2"/>
  </r>
  <r>
    <x v="9"/>
    <x v="8"/>
    <x v="3"/>
    <n v="22.4"/>
    <n v="156.79999999999998"/>
    <x v="0"/>
    <x v="2"/>
    <s v="M"/>
    <x v="0"/>
    <x v="1"/>
    <x v="0"/>
    <x v="3"/>
    <x v="2"/>
    <x v="0"/>
    <x v="1"/>
  </r>
  <r>
    <x v="10"/>
    <x v="9"/>
    <x v="1"/>
    <n v="54.4"/>
    <n v="108.8"/>
    <x v="0"/>
    <x v="4"/>
    <s v="F"/>
    <x v="0"/>
    <x v="0"/>
    <x v="0"/>
    <x v="3"/>
    <x v="4"/>
    <x v="0"/>
    <x v="2"/>
  </r>
  <r>
    <x v="11"/>
    <x v="9"/>
    <x v="1"/>
    <n v="49"/>
    <n v="98"/>
    <x v="0"/>
    <x v="1"/>
    <s v="F"/>
    <x v="2"/>
    <x v="1"/>
    <x v="0"/>
    <x v="3"/>
    <x v="1"/>
    <x v="0"/>
    <x v="2"/>
  </r>
  <r>
    <x v="12"/>
    <x v="5"/>
    <x v="3"/>
    <n v="118.6"/>
    <n v="830.19999999999993"/>
    <x v="0"/>
    <x v="5"/>
    <s v="F"/>
    <x v="1"/>
    <x v="0"/>
    <x v="0"/>
    <x v="4"/>
    <x v="5"/>
    <x v="0"/>
    <x v="2"/>
  </r>
  <r>
    <x v="13"/>
    <x v="6"/>
    <x v="6"/>
    <n v="88.4"/>
    <n v="2386.8000000000002"/>
    <x v="0"/>
    <x v="6"/>
    <s v="M"/>
    <x v="3"/>
    <x v="0"/>
    <x v="0"/>
    <x v="5"/>
    <x v="6"/>
    <x v="0"/>
    <x v="1"/>
  </r>
  <r>
    <x v="14"/>
    <x v="10"/>
    <x v="0"/>
    <n v="66.7"/>
    <n v="66.7"/>
    <x v="0"/>
    <x v="2"/>
    <s v="M"/>
    <x v="0"/>
    <x v="0"/>
    <x v="0"/>
    <x v="6"/>
    <x v="2"/>
    <x v="0"/>
    <x v="1"/>
  </r>
  <r>
    <x v="15"/>
    <x v="9"/>
    <x v="7"/>
    <n v="30.9"/>
    <n v="309"/>
    <x v="0"/>
    <x v="3"/>
    <s v="M"/>
    <x v="1"/>
    <x v="2"/>
    <x v="0"/>
    <x v="6"/>
    <x v="3"/>
    <x v="0"/>
    <x v="1"/>
  </r>
  <r>
    <x v="16"/>
    <x v="4"/>
    <x v="2"/>
    <n v="31.1"/>
    <n v="93.300000000000011"/>
    <x v="0"/>
    <x v="3"/>
    <s v="F"/>
    <x v="0"/>
    <x v="1"/>
    <x v="0"/>
    <x v="6"/>
    <x v="3"/>
    <x v="0"/>
    <x v="2"/>
  </r>
  <r>
    <x v="17"/>
    <x v="7"/>
    <x v="2"/>
    <n v="36.6"/>
    <n v="109.80000000000001"/>
    <x v="0"/>
    <x v="2"/>
    <s v="F"/>
    <x v="0"/>
    <x v="0"/>
    <x v="0"/>
    <x v="7"/>
    <x v="2"/>
    <x v="0"/>
    <x v="2"/>
  </r>
  <r>
    <x v="18"/>
    <x v="6"/>
    <x v="8"/>
    <n v="51.1"/>
    <n v="408.8"/>
    <x v="0"/>
    <x v="2"/>
    <s v="F"/>
    <x v="2"/>
    <x v="3"/>
    <x v="0"/>
    <x v="7"/>
    <x v="2"/>
    <x v="0"/>
    <x v="2"/>
  </r>
  <r>
    <x v="19"/>
    <x v="9"/>
    <x v="0"/>
    <n v="25.2"/>
    <n v="25.2"/>
    <x v="0"/>
    <x v="3"/>
    <s v="F"/>
    <x v="1"/>
    <x v="2"/>
    <x v="0"/>
    <x v="8"/>
    <x v="3"/>
    <x v="0"/>
    <x v="2"/>
  </r>
  <r>
    <x v="20"/>
    <x v="9"/>
    <x v="9"/>
    <n v="43.8"/>
    <n v="219"/>
    <x v="0"/>
    <x v="2"/>
    <s v="F"/>
    <x v="2"/>
    <x v="0"/>
    <x v="0"/>
    <x v="8"/>
    <x v="2"/>
    <x v="0"/>
    <x v="2"/>
  </r>
  <r>
    <x v="21"/>
    <x v="8"/>
    <x v="4"/>
    <n v="46.7"/>
    <n v="560.40000000000009"/>
    <x v="0"/>
    <x v="3"/>
    <s v="F"/>
    <x v="1"/>
    <x v="1"/>
    <x v="0"/>
    <x v="8"/>
    <x v="3"/>
    <x v="0"/>
    <x v="2"/>
  </r>
  <r>
    <x v="22"/>
    <x v="3"/>
    <x v="10"/>
    <n v="79.900000000000006"/>
    <n v="1518.1000000000001"/>
    <x v="0"/>
    <x v="3"/>
    <s v="M"/>
    <x v="0"/>
    <x v="2"/>
    <x v="0"/>
    <x v="8"/>
    <x v="3"/>
    <x v="0"/>
    <x v="1"/>
  </r>
  <r>
    <x v="23"/>
    <x v="11"/>
    <x v="8"/>
    <n v="26.4"/>
    <n v="211.2"/>
    <x v="0"/>
    <x v="3"/>
    <s v="F"/>
    <x v="3"/>
    <x v="0"/>
    <x v="0"/>
    <x v="8"/>
    <x v="3"/>
    <x v="0"/>
    <x v="2"/>
  </r>
  <r>
    <x v="24"/>
    <x v="12"/>
    <x v="8"/>
    <n v="88.8"/>
    <n v="710.4"/>
    <x v="0"/>
    <x v="3"/>
    <s v="F"/>
    <x v="4"/>
    <x v="0"/>
    <x v="0"/>
    <x v="8"/>
    <x v="3"/>
    <x v="0"/>
    <x v="2"/>
  </r>
  <r>
    <x v="25"/>
    <x v="0"/>
    <x v="7"/>
    <n v="17.5"/>
    <n v="175"/>
    <x v="0"/>
    <x v="3"/>
    <s v="F"/>
    <x v="2"/>
    <x v="0"/>
    <x v="0"/>
    <x v="9"/>
    <x v="3"/>
    <x v="0"/>
    <x v="2"/>
  </r>
  <r>
    <x v="26"/>
    <x v="1"/>
    <x v="11"/>
    <n v="38.700000000000003"/>
    <n v="348.3"/>
    <x v="0"/>
    <x v="2"/>
    <s v="M"/>
    <x v="1"/>
    <x v="0"/>
    <x v="0"/>
    <x v="10"/>
    <x v="2"/>
    <x v="0"/>
    <x v="1"/>
  </r>
  <r>
    <x v="27"/>
    <x v="13"/>
    <x v="12"/>
    <n v="57.2"/>
    <n v="228.8"/>
    <x v="0"/>
    <x v="1"/>
    <s v=""/>
    <x v="1"/>
    <x v="2"/>
    <x v="0"/>
    <x v="11"/>
    <x v="1"/>
    <x v="0"/>
    <x v="0"/>
  </r>
  <r>
    <x v="28"/>
    <x v="6"/>
    <x v="9"/>
    <n v="50.9"/>
    <n v="254.5"/>
    <x v="0"/>
    <x v="4"/>
    <s v=""/>
    <x v="1"/>
    <x v="2"/>
    <x v="0"/>
    <x v="12"/>
    <x v="4"/>
    <x v="0"/>
    <x v="0"/>
  </r>
  <r>
    <x v="29"/>
    <x v="14"/>
    <x v="3"/>
    <n v="41"/>
    <n v="287"/>
    <x v="0"/>
    <x v="5"/>
    <s v="F"/>
    <x v="1"/>
    <x v="0"/>
    <x v="0"/>
    <x v="13"/>
    <x v="5"/>
    <x v="0"/>
    <x v="2"/>
  </r>
  <r>
    <x v="30"/>
    <x v="8"/>
    <x v="3"/>
    <n v="19.100000000000001"/>
    <n v="133.70000000000002"/>
    <x v="0"/>
    <x v="5"/>
    <s v="M"/>
    <x v="0"/>
    <x v="2"/>
    <x v="0"/>
    <x v="14"/>
    <x v="5"/>
    <x v="0"/>
    <x v="1"/>
  </r>
  <r>
    <x v="31"/>
    <x v="2"/>
    <x v="9"/>
    <n v="166.1"/>
    <n v="830.5"/>
    <x v="0"/>
    <x v="2"/>
    <s v="M"/>
    <x v="0"/>
    <x v="0"/>
    <x v="0"/>
    <x v="15"/>
    <x v="2"/>
    <x v="0"/>
    <x v="1"/>
  </r>
  <r>
    <x v="32"/>
    <x v="4"/>
    <x v="2"/>
    <n v="29.9"/>
    <n v="89.699999999999989"/>
    <x v="0"/>
    <x v="3"/>
    <s v="M"/>
    <x v="3"/>
    <x v="0"/>
    <x v="0"/>
    <x v="3"/>
    <x v="3"/>
    <x v="0"/>
    <x v="1"/>
  </r>
  <r>
    <x v="33"/>
    <x v="10"/>
    <x v="13"/>
    <n v="21.7"/>
    <n v="130.19999999999999"/>
    <x v="0"/>
    <x v="1"/>
    <s v="O"/>
    <x v="2"/>
    <x v="2"/>
    <x v="0"/>
    <x v="3"/>
    <x v="1"/>
    <x v="0"/>
    <x v="3"/>
  </r>
  <r>
    <x v="34"/>
    <x v="11"/>
    <x v="1"/>
    <n v="32"/>
    <n v="64"/>
    <x v="0"/>
    <x v="2"/>
    <s v="M"/>
    <x v="0"/>
    <x v="2"/>
    <x v="0"/>
    <x v="3"/>
    <x v="2"/>
    <x v="0"/>
    <x v="1"/>
  </r>
  <r>
    <x v="35"/>
    <x v="8"/>
    <x v="1"/>
    <n v="15.8"/>
    <n v="31.6"/>
    <x v="0"/>
    <x v="3"/>
    <s v="M"/>
    <x v="4"/>
    <x v="2"/>
    <x v="0"/>
    <x v="3"/>
    <x v="3"/>
    <x v="0"/>
    <x v="1"/>
  </r>
  <r>
    <x v="36"/>
    <x v="2"/>
    <x v="14"/>
    <n v="203.1"/>
    <n v="3452.7"/>
    <x v="0"/>
    <x v="5"/>
    <s v="M"/>
    <x v="3"/>
    <x v="1"/>
    <x v="0"/>
    <x v="3"/>
    <x v="5"/>
    <x v="0"/>
    <x v="1"/>
  </r>
  <r>
    <x v="37"/>
    <x v="7"/>
    <x v="15"/>
    <n v="39"/>
    <n v="507"/>
    <x v="0"/>
    <x v="4"/>
    <s v="M"/>
    <x v="0"/>
    <x v="2"/>
    <x v="0"/>
    <x v="3"/>
    <x v="4"/>
    <x v="0"/>
    <x v="1"/>
  </r>
  <r>
    <x v="38"/>
    <x v="10"/>
    <x v="0"/>
    <n v="26.5"/>
    <n v="26.5"/>
    <x v="1"/>
    <x v="1"/>
    <s v="M"/>
    <x v="2"/>
    <x v="0"/>
    <x v="0"/>
    <x v="3"/>
    <x v="3"/>
    <x v="0"/>
    <x v="1"/>
  </r>
  <r>
    <x v="39"/>
    <x v="5"/>
    <x v="0"/>
    <n v="43.1"/>
    <n v="43.1"/>
    <x v="1"/>
    <x v="1"/>
    <s v="F"/>
    <x v="2"/>
    <x v="1"/>
    <x v="0"/>
    <x v="3"/>
    <x v="3"/>
    <x v="0"/>
    <x v="2"/>
  </r>
  <r>
    <x v="40"/>
    <x v="1"/>
    <x v="2"/>
    <n v="139"/>
    <n v="417"/>
    <x v="1"/>
    <x v="1"/>
    <s v="F"/>
    <x v="4"/>
    <x v="2"/>
    <x v="0"/>
    <x v="3"/>
    <x v="3"/>
    <x v="0"/>
    <x v="2"/>
  </r>
  <r>
    <x v="41"/>
    <x v="12"/>
    <x v="0"/>
    <n v="80.7"/>
    <n v="80.7"/>
    <x v="1"/>
    <x v="1"/>
    <s v="M"/>
    <x v="0"/>
    <x v="2"/>
    <x v="0"/>
    <x v="16"/>
    <x v="3"/>
    <x v="0"/>
    <x v="1"/>
  </r>
  <r>
    <x v="42"/>
    <x v="4"/>
    <x v="1"/>
    <n v="54.5"/>
    <n v="109"/>
    <x v="1"/>
    <x v="2"/>
    <s v="M"/>
    <x v="1"/>
    <x v="1"/>
    <x v="0"/>
    <x v="6"/>
    <x v="1"/>
    <x v="0"/>
    <x v="1"/>
  </r>
  <r>
    <x v="43"/>
    <x v="6"/>
    <x v="2"/>
    <n v="68.599999999999994"/>
    <n v="205.79999999999998"/>
    <x v="1"/>
    <x v="3"/>
    <s v="F"/>
    <x v="0"/>
    <x v="1"/>
    <x v="0"/>
    <x v="8"/>
    <x v="7"/>
    <x v="0"/>
    <x v="2"/>
  </r>
  <r>
    <x v="44"/>
    <x v="2"/>
    <x v="12"/>
    <n v="135.9"/>
    <n v="543.6"/>
    <x v="1"/>
    <x v="1"/>
    <s v="F"/>
    <x v="2"/>
    <x v="2"/>
    <x v="0"/>
    <x v="8"/>
    <x v="3"/>
    <x v="0"/>
    <x v="2"/>
  </r>
  <r>
    <x v="45"/>
    <x v="2"/>
    <x v="12"/>
    <n v="70.900000000000006"/>
    <n v="283.60000000000002"/>
    <x v="1"/>
    <x v="1"/>
    <s v="F"/>
    <x v="0"/>
    <x v="0"/>
    <x v="0"/>
    <x v="17"/>
    <x v="3"/>
    <x v="0"/>
    <x v="2"/>
  </r>
  <r>
    <x v="46"/>
    <x v="1"/>
    <x v="9"/>
    <n v="63.7"/>
    <n v="318.5"/>
    <x v="1"/>
    <x v="1"/>
    <s v="M"/>
    <x v="1"/>
    <x v="1"/>
    <x v="0"/>
    <x v="9"/>
    <x v="3"/>
    <x v="0"/>
    <x v="1"/>
  </r>
  <r>
    <x v="47"/>
    <x v="13"/>
    <x v="0"/>
    <n v="29.7"/>
    <n v="29.7"/>
    <x v="1"/>
    <x v="2"/>
    <s v="F"/>
    <x v="1"/>
    <x v="0"/>
    <x v="0"/>
    <x v="11"/>
    <x v="1"/>
    <x v="0"/>
    <x v="2"/>
  </r>
  <r>
    <x v="48"/>
    <x v="4"/>
    <x v="2"/>
    <n v="26.8"/>
    <n v="80.400000000000006"/>
    <x v="1"/>
    <x v="7"/>
    <s v="F"/>
    <x v="1"/>
    <x v="2"/>
    <x v="0"/>
    <x v="11"/>
    <x v="8"/>
    <x v="0"/>
    <x v="2"/>
  </r>
  <r>
    <x v="49"/>
    <x v="14"/>
    <x v="0"/>
    <n v="27"/>
    <n v="27"/>
    <x v="1"/>
    <x v="2"/>
    <s v="F"/>
    <x v="0"/>
    <x v="0"/>
    <x v="0"/>
    <x v="18"/>
    <x v="1"/>
    <x v="0"/>
    <x v="2"/>
  </r>
  <r>
    <x v="50"/>
    <x v="8"/>
    <x v="0"/>
    <n v="41.4"/>
    <n v="41.4"/>
    <x v="1"/>
    <x v="1"/>
    <s v="M"/>
    <x v="1"/>
    <x v="2"/>
    <x v="0"/>
    <x v="19"/>
    <x v="3"/>
    <x v="0"/>
    <x v="1"/>
  </r>
  <r>
    <x v="51"/>
    <x v="8"/>
    <x v="1"/>
    <n v="24.3"/>
    <n v="48.6"/>
    <x v="1"/>
    <x v="5"/>
    <s v="F"/>
    <x v="1"/>
    <x v="0"/>
    <x v="0"/>
    <x v="19"/>
    <x v="2"/>
    <x v="0"/>
    <x v="2"/>
  </r>
  <r>
    <x v="52"/>
    <x v="8"/>
    <x v="2"/>
    <n v="41.7"/>
    <n v="125.10000000000001"/>
    <x v="1"/>
    <x v="2"/>
    <s v="M"/>
    <x v="0"/>
    <x v="2"/>
    <x v="0"/>
    <x v="20"/>
    <x v="1"/>
    <x v="0"/>
    <x v="1"/>
  </r>
  <r>
    <x v="53"/>
    <x v="0"/>
    <x v="1"/>
    <n v="18"/>
    <n v="36"/>
    <x v="1"/>
    <x v="1"/>
    <s v="F"/>
    <x v="0"/>
    <x v="2"/>
    <x v="0"/>
    <x v="21"/>
    <x v="3"/>
    <x v="0"/>
    <x v="2"/>
  </r>
  <r>
    <x v="54"/>
    <x v="7"/>
    <x v="2"/>
    <n v="91.3"/>
    <n v="273.89999999999998"/>
    <x v="1"/>
    <x v="5"/>
    <s v="M"/>
    <x v="2"/>
    <x v="2"/>
    <x v="0"/>
    <x v="3"/>
    <x v="2"/>
    <x v="0"/>
    <x v="1"/>
  </r>
  <r>
    <x v="55"/>
    <x v="8"/>
    <x v="8"/>
    <n v="19.3"/>
    <n v="154.4"/>
    <x v="1"/>
    <x v="1"/>
    <s v="M"/>
    <x v="0"/>
    <x v="0"/>
    <x v="0"/>
    <x v="3"/>
    <x v="3"/>
    <x v="0"/>
    <x v="1"/>
  </r>
  <r>
    <x v="56"/>
    <x v="12"/>
    <x v="15"/>
    <n v="63.2"/>
    <n v="821.6"/>
    <x v="1"/>
    <x v="1"/>
    <s v="F"/>
    <x v="0"/>
    <x v="0"/>
    <x v="0"/>
    <x v="3"/>
    <x v="3"/>
    <x v="0"/>
    <x v="2"/>
  </r>
  <r>
    <x v="57"/>
    <x v="10"/>
    <x v="11"/>
    <n v="33.299999999999997"/>
    <n v="299.7"/>
    <x v="2"/>
    <x v="7"/>
    <s v="F"/>
    <x v="0"/>
    <x v="2"/>
    <x v="0"/>
    <x v="3"/>
    <x v="9"/>
    <x v="0"/>
    <x v="2"/>
  </r>
  <r>
    <x v="58"/>
    <x v="7"/>
    <x v="1"/>
    <n v="64.2"/>
    <n v="128.4"/>
    <x v="2"/>
    <x v="2"/>
    <s v="M"/>
    <x v="0"/>
    <x v="2"/>
    <x v="0"/>
    <x v="3"/>
    <x v="3"/>
    <x v="0"/>
    <x v="1"/>
  </r>
  <r>
    <x v="59"/>
    <x v="9"/>
    <x v="2"/>
    <n v="23.1"/>
    <n v="69.300000000000011"/>
    <x v="2"/>
    <x v="0"/>
    <s v="F"/>
    <x v="1"/>
    <x v="2"/>
    <x v="0"/>
    <x v="3"/>
    <x v="2"/>
    <x v="0"/>
    <x v="2"/>
  </r>
  <r>
    <x v="60"/>
    <x v="15"/>
    <x v="1"/>
    <n v="71.099999999999994"/>
    <n v="142.19999999999999"/>
    <x v="2"/>
    <x v="5"/>
    <s v="F"/>
    <x v="3"/>
    <x v="1"/>
    <x v="0"/>
    <x v="3"/>
    <x v="1"/>
    <x v="0"/>
    <x v="2"/>
  </r>
  <r>
    <x v="61"/>
    <x v="0"/>
    <x v="1"/>
    <n v="11.5"/>
    <n v="23"/>
    <x v="2"/>
    <x v="2"/>
    <s v="F"/>
    <x v="0"/>
    <x v="0"/>
    <x v="0"/>
    <x v="3"/>
    <x v="3"/>
    <x v="0"/>
    <x v="2"/>
  </r>
  <r>
    <x v="62"/>
    <x v="15"/>
    <x v="10"/>
    <n v="69.2"/>
    <n v="1314.8"/>
    <x v="2"/>
    <x v="6"/>
    <s v="F"/>
    <x v="0"/>
    <x v="0"/>
    <x v="0"/>
    <x v="3"/>
    <x v="0"/>
    <x v="0"/>
    <x v="2"/>
  </r>
  <r>
    <x v="63"/>
    <x v="0"/>
    <x v="0"/>
    <n v="26.8"/>
    <n v="26.8"/>
    <x v="2"/>
    <x v="2"/>
    <s v="M"/>
    <x v="2"/>
    <x v="4"/>
    <x v="0"/>
    <x v="3"/>
    <x v="3"/>
    <x v="0"/>
    <x v="1"/>
  </r>
  <r>
    <x v="64"/>
    <x v="16"/>
    <x v="2"/>
    <n v="31.2"/>
    <n v="93.6"/>
    <x v="2"/>
    <x v="0"/>
    <s v="F"/>
    <x v="0"/>
    <x v="0"/>
    <x v="0"/>
    <x v="3"/>
    <x v="2"/>
    <x v="0"/>
    <x v="2"/>
  </r>
  <r>
    <x v="65"/>
    <x v="12"/>
    <x v="1"/>
    <n v="113.2"/>
    <n v="226.4"/>
    <x v="2"/>
    <x v="2"/>
    <s v="F"/>
    <x v="4"/>
    <x v="0"/>
    <x v="0"/>
    <x v="3"/>
    <x v="3"/>
    <x v="0"/>
    <x v="2"/>
  </r>
  <r>
    <x v="66"/>
    <x v="10"/>
    <x v="8"/>
    <n v="21"/>
    <n v="168"/>
    <x v="2"/>
    <x v="2"/>
    <s v="M"/>
    <x v="0"/>
    <x v="0"/>
    <x v="0"/>
    <x v="6"/>
    <x v="3"/>
    <x v="0"/>
    <x v="1"/>
  </r>
  <r>
    <x v="67"/>
    <x v="1"/>
    <x v="1"/>
    <n v="89.1"/>
    <n v="178.2"/>
    <x v="2"/>
    <x v="2"/>
    <s v="F"/>
    <x v="2"/>
    <x v="2"/>
    <x v="0"/>
    <x v="6"/>
    <x v="3"/>
    <x v="0"/>
    <x v="2"/>
  </r>
  <r>
    <x v="68"/>
    <x v="1"/>
    <x v="0"/>
    <n v="97.7"/>
    <n v="97.7"/>
    <x v="2"/>
    <x v="5"/>
    <s v="F"/>
    <x v="0"/>
    <x v="1"/>
    <x v="0"/>
    <x v="6"/>
    <x v="1"/>
    <x v="0"/>
    <x v="2"/>
  </r>
  <r>
    <x v="69"/>
    <x v="15"/>
    <x v="12"/>
    <n v="97.7"/>
    <n v="390.8"/>
    <x v="2"/>
    <x v="5"/>
    <s v="M"/>
    <x v="3"/>
    <x v="0"/>
    <x v="0"/>
    <x v="6"/>
    <x v="1"/>
    <x v="0"/>
    <x v="1"/>
  </r>
  <r>
    <x v="70"/>
    <x v="17"/>
    <x v="2"/>
    <n v="47.4"/>
    <n v="142.19999999999999"/>
    <x v="2"/>
    <x v="0"/>
    <s v="M"/>
    <x v="3"/>
    <x v="2"/>
    <x v="0"/>
    <x v="8"/>
    <x v="2"/>
    <x v="0"/>
    <x v="1"/>
  </r>
  <r>
    <x v="71"/>
    <x v="7"/>
    <x v="0"/>
    <n v="89.6"/>
    <n v="89.6"/>
    <x v="2"/>
    <x v="0"/>
    <s v="F"/>
    <x v="0"/>
    <x v="2"/>
    <x v="0"/>
    <x v="8"/>
    <x v="2"/>
    <x v="0"/>
    <x v="2"/>
  </r>
  <r>
    <x v="72"/>
    <x v="10"/>
    <x v="16"/>
    <n v="28.4"/>
    <n v="511.2"/>
    <x v="2"/>
    <x v="0"/>
    <s v="F"/>
    <x v="3"/>
    <x v="2"/>
    <x v="0"/>
    <x v="17"/>
    <x v="2"/>
    <x v="0"/>
    <x v="2"/>
  </r>
  <r>
    <x v="73"/>
    <x v="0"/>
    <x v="1"/>
    <n v="17.899999999999999"/>
    <n v="35.799999999999997"/>
    <x v="2"/>
    <x v="2"/>
    <s v="F"/>
    <x v="0"/>
    <x v="2"/>
    <x v="0"/>
    <x v="9"/>
    <x v="3"/>
    <x v="0"/>
    <x v="2"/>
  </r>
  <r>
    <x v="74"/>
    <x v="9"/>
    <x v="1"/>
    <n v="48.4"/>
    <n v="96.8"/>
    <x v="2"/>
    <x v="0"/>
    <s v="M"/>
    <x v="1"/>
    <x v="0"/>
    <x v="0"/>
    <x v="9"/>
    <x v="2"/>
    <x v="0"/>
    <x v="1"/>
  </r>
  <r>
    <x v="75"/>
    <x v="12"/>
    <x v="12"/>
    <n v="44.4"/>
    <n v="177.6"/>
    <x v="2"/>
    <x v="2"/>
    <s v="O"/>
    <x v="1"/>
    <x v="1"/>
    <x v="0"/>
    <x v="11"/>
    <x v="3"/>
    <x v="0"/>
    <x v="3"/>
  </r>
  <r>
    <x v="76"/>
    <x v="2"/>
    <x v="8"/>
    <n v="103.7"/>
    <n v="829.6"/>
    <x v="2"/>
    <x v="2"/>
    <s v="F"/>
    <x v="0"/>
    <x v="1"/>
    <x v="0"/>
    <x v="19"/>
    <x v="3"/>
    <x v="0"/>
    <x v="2"/>
  </r>
  <r>
    <x v="77"/>
    <x v="5"/>
    <x v="12"/>
    <n v="58.6"/>
    <n v="234.4"/>
    <x v="2"/>
    <x v="5"/>
    <s v="M"/>
    <x v="3"/>
    <x v="0"/>
    <x v="0"/>
    <x v="19"/>
    <x v="1"/>
    <x v="0"/>
    <x v="1"/>
  </r>
  <r>
    <x v="78"/>
    <x v="9"/>
    <x v="12"/>
    <n v="54.8"/>
    <n v="219.2"/>
    <x v="2"/>
    <x v="4"/>
    <s v="F"/>
    <x v="2"/>
    <x v="1"/>
    <x v="0"/>
    <x v="13"/>
    <x v="5"/>
    <x v="0"/>
    <x v="2"/>
  </r>
  <r>
    <x v="79"/>
    <x v="12"/>
    <x v="2"/>
    <n v="78.8"/>
    <n v="236.39999999999998"/>
    <x v="2"/>
    <x v="8"/>
    <s v="F"/>
    <x v="4"/>
    <x v="1"/>
    <x v="0"/>
    <x v="21"/>
    <x v="4"/>
    <x v="0"/>
    <x v="2"/>
  </r>
  <r>
    <x v="80"/>
    <x v="18"/>
    <x v="9"/>
    <n v="36.799999999999997"/>
    <n v="184"/>
    <x v="2"/>
    <x v="0"/>
    <s v="M"/>
    <x v="4"/>
    <x v="1"/>
    <x v="0"/>
    <x v="22"/>
    <x v="2"/>
    <x v="0"/>
    <x v="1"/>
  </r>
  <r>
    <x v="81"/>
    <x v="6"/>
    <x v="13"/>
    <n v="50.6"/>
    <n v="303.60000000000002"/>
    <x v="2"/>
    <x v="5"/>
    <s v="F"/>
    <x v="3"/>
    <x v="0"/>
    <x v="0"/>
    <x v="3"/>
    <x v="1"/>
    <x v="0"/>
    <x v="2"/>
  </r>
  <r>
    <x v="82"/>
    <x v="15"/>
    <x v="2"/>
    <n v="36.799999999999997"/>
    <n v="110.39999999999999"/>
    <x v="2"/>
    <x v="1"/>
    <s v="M"/>
    <x v="2"/>
    <x v="1"/>
    <x v="0"/>
    <x v="3"/>
    <x v="7"/>
    <x v="0"/>
    <x v="1"/>
  </r>
  <r>
    <x v="83"/>
    <x v="8"/>
    <x v="11"/>
    <n v="41.8"/>
    <n v="376.2"/>
    <x v="3"/>
    <x v="9"/>
    <s v="F"/>
    <x v="3"/>
    <x v="0"/>
    <x v="0"/>
    <x v="3"/>
    <x v="4"/>
    <x v="0"/>
    <x v="2"/>
  </r>
  <r>
    <x v="84"/>
    <x v="18"/>
    <x v="0"/>
    <n v="77.3"/>
    <n v="77.3"/>
    <x v="3"/>
    <x v="5"/>
    <s v="M"/>
    <x v="4"/>
    <x v="4"/>
    <x v="0"/>
    <x v="3"/>
    <x v="3"/>
    <x v="0"/>
    <x v="1"/>
  </r>
  <r>
    <x v="85"/>
    <x v="8"/>
    <x v="12"/>
    <n v="19.8"/>
    <n v="79.2"/>
    <x v="3"/>
    <x v="9"/>
    <s v="M"/>
    <x v="1"/>
    <x v="2"/>
    <x v="0"/>
    <x v="3"/>
    <x v="4"/>
    <x v="0"/>
    <x v="1"/>
  </r>
  <r>
    <x v="86"/>
    <x v="13"/>
    <x v="12"/>
    <n v="15.5"/>
    <n v="62"/>
    <x v="3"/>
    <x v="5"/>
    <s v="F"/>
    <x v="1"/>
    <x v="2"/>
    <x v="0"/>
    <x v="3"/>
    <x v="3"/>
    <x v="0"/>
    <x v="2"/>
  </r>
  <r>
    <x v="87"/>
    <x v="12"/>
    <x v="0"/>
    <n v="46.8"/>
    <n v="46.8"/>
    <x v="3"/>
    <x v="6"/>
    <s v="M"/>
    <x v="0"/>
    <x v="2"/>
    <x v="0"/>
    <x v="3"/>
    <x v="5"/>
    <x v="0"/>
    <x v="1"/>
  </r>
  <r>
    <x v="88"/>
    <x v="9"/>
    <x v="11"/>
    <n v="28.6"/>
    <n v="257.40000000000003"/>
    <x v="3"/>
    <x v="6"/>
    <s v="M"/>
    <x v="0"/>
    <x v="2"/>
    <x v="0"/>
    <x v="3"/>
    <x v="5"/>
    <x v="0"/>
    <x v="1"/>
  </r>
  <r>
    <x v="89"/>
    <x v="2"/>
    <x v="0"/>
    <n v="97.7"/>
    <n v="97.7"/>
    <x v="3"/>
    <x v="4"/>
    <s v="F"/>
    <x v="1"/>
    <x v="0"/>
    <x v="0"/>
    <x v="3"/>
    <x v="2"/>
    <x v="0"/>
    <x v="2"/>
  </r>
  <r>
    <x v="90"/>
    <x v="9"/>
    <x v="9"/>
    <n v="54.7"/>
    <n v="273.5"/>
    <x v="3"/>
    <x v="4"/>
    <s v=""/>
    <x v="0"/>
    <x v="2"/>
    <x v="0"/>
    <x v="23"/>
    <x v="2"/>
    <x v="0"/>
    <x v="0"/>
  </r>
  <r>
    <x v="91"/>
    <x v="2"/>
    <x v="13"/>
    <n v="130.5"/>
    <n v="783"/>
    <x v="3"/>
    <x v="0"/>
    <s v="F"/>
    <x v="0"/>
    <x v="1"/>
    <x v="0"/>
    <x v="23"/>
    <x v="1"/>
    <x v="0"/>
    <x v="2"/>
  </r>
  <r>
    <x v="92"/>
    <x v="11"/>
    <x v="1"/>
    <n v="50.4"/>
    <n v="100.8"/>
    <x v="3"/>
    <x v="0"/>
    <s v="M"/>
    <x v="2"/>
    <x v="2"/>
    <x v="0"/>
    <x v="6"/>
    <x v="1"/>
    <x v="0"/>
    <x v="1"/>
  </r>
  <r>
    <x v="93"/>
    <x v="6"/>
    <x v="15"/>
    <n v="61.5"/>
    <n v="799.5"/>
    <x v="3"/>
    <x v="5"/>
    <s v=""/>
    <x v="3"/>
    <x v="1"/>
    <x v="0"/>
    <x v="11"/>
    <x v="3"/>
    <x v="0"/>
    <x v="0"/>
  </r>
  <r>
    <x v="94"/>
    <x v="9"/>
    <x v="12"/>
    <n v="30.1"/>
    <n v="120.4"/>
    <x v="3"/>
    <x v="5"/>
    <s v="F"/>
    <x v="0"/>
    <x v="2"/>
    <x v="0"/>
    <x v="21"/>
    <x v="3"/>
    <x v="0"/>
    <x v="2"/>
  </r>
  <r>
    <x v="95"/>
    <x v="2"/>
    <x v="9"/>
    <n v="74.8"/>
    <n v="374"/>
    <x v="3"/>
    <x v="5"/>
    <s v="F"/>
    <x v="1"/>
    <x v="0"/>
    <x v="0"/>
    <x v="1"/>
    <x v="3"/>
    <x v="0"/>
    <x v="2"/>
  </r>
  <r>
    <x v="96"/>
    <x v="16"/>
    <x v="2"/>
    <n v="64.900000000000006"/>
    <n v="194.70000000000002"/>
    <x v="3"/>
    <x v="7"/>
    <s v="M"/>
    <x v="0"/>
    <x v="0"/>
    <x v="0"/>
    <x v="2"/>
    <x v="6"/>
    <x v="0"/>
    <x v="1"/>
  </r>
  <r>
    <x v="97"/>
    <x v="9"/>
    <x v="1"/>
    <n v="50.5"/>
    <n v="101"/>
    <x v="3"/>
    <x v="0"/>
    <s v="M"/>
    <x v="1"/>
    <x v="0"/>
    <x v="0"/>
    <x v="22"/>
    <x v="1"/>
    <x v="0"/>
    <x v="1"/>
  </r>
  <r>
    <x v="98"/>
    <x v="11"/>
    <x v="3"/>
    <n v="63"/>
    <n v="441"/>
    <x v="3"/>
    <x v="4"/>
    <s v="M"/>
    <x v="3"/>
    <x v="2"/>
    <x v="0"/>
    <x v="3"/>
    <x v="2"/>
    <x v="0"/>
    <x v="1"/>
  </r>
  <r>
    <x v="99"/>
    <x v="2"/>
    <x v="2"/>
    <n v="93.6"/>
    <n v="280.79999999999995"/>
    <x v="3"/>
    <x v="10"/>
    <s v="F"/>
    <x v="0"/>
    <x v="2"/>
    <x v="0"/>
    <x v="3"/>
    <x v="10"/>
    <x v="0"/>
    <x v="2"/>
  </r>
  <r>
    <x v="100"/>
    <x v="5"/>
    <x v="17"/>
    <n v="41.4"/>
    <n v="1242"/>
    <x v="3"/>
    <x v="6"/>
    <s v="M"/>
    <x v="2"/>
    <x v="2"/>
    <x v="0"/>
    <x v="3"/>
    <x v="5"/>
    <x v="0"/>
    <x v="1"/>
  </r>
  <r>
    <x v="101"/>
    <x v="2"/>
    <x v="1"/>
    <n v="160"/>
    <n v="320"/>
    <x v="4"/>
    <x v="0"/>
    <s v="M"/>
    <x v="2"/>
    <x v="2"/>
    <x v="0"/>
    <x v="5"/>
    <x v="3"/>
    <x v="1"/>
    <x v="1"/>
  </r>
  <r>
    <x v="102"/>
    <x v="19"/>
    <x v="5"/>
    <n v="10.5"/>
    <n v="115.5"/>
    <x v="4"/>
    <x v="6"/>
    <s v="F"/>
    <x v="4"/>
    <x v="0"/>
    <x v="0"/>
    <x v="8"/>
    <x v="2"/>
    <x v="1"/>
    <x v="2"/>
  </r>
  <r>
    <x v="103"/>
    <x v="10"/>
    <x v="1"/>
    <n v="53"/>
    <n v="106"/>
    <x v="4"/>
    <x v="5"/>
    <s v="M"/>
    <x v="2"/>
    <x v="4"/>
    <x v="0"/>
    <x v="17"/>
    <x v="7"/>
    <x v="1"/>
    <x v="1"/>
  </r>
  <r>
    <x v="104"/>
    <x v="8"/>
    <x v="2"/>
    <n v="18.5"/>
    <n v="55.5"/>
    <x v="4"/>
    <x v="9"/>
    <s v="F"/>
    <x v="1"/>
    <x v="2"/>
    <x v="0"/>
    <x v="11"/>
    <x v="0"/>
    <x v="1"/>
    <x v="2"/>
  </r>
  <r>
    <x v="105"/>
    <x v="16"/>
    <x v="2"/>
    <n v="84.5"/>
    <n v="253.5"/>
    <x v="4"/>
    <x v="4"/>
    <s v="F"/>
    <x v="4"/>
    <x v="1"/>
    <x v="0"/>
    <x v="13"/>
    <x v="1"/>
    <x v="1"/>
    <x v="2"/>
  </r>
  <r>
    <x v="106"/>
    <x v="15"/>
    <x v="3"/>
    <n v="31.2"/>
    <n v="218.4"/>
    <x v="4"/>
    <x v="5"/>
    <s v="F"/>
    <x v="2"/>
    <x v="2"/>
    <x v="0"/>
    <x v="3"/>
    <x v="7"/>
    <x v="1"/>
    <x v="2"/>
  </r>
  <r>
    <x v="107"/>
    <x v="8"/>
    <x v="16"/>
    <n v="32.6"/>
    <n v="586.80000000000007"/>
    <x v="4"/>
    <x v="0"/>
    <s v="M"/>
    <x v="1"/>
    <x v="1"/>
    <x v="0"/>
    <x v="3"/>
    <x v="3"/>
    <x v="1"/>
    <x v="1"/>
  </r>
  <r>
    <x v="108"/>
    <x v="10"/>
    <x v="12"/>
    <n v="45.4"/>
    <n v="181.6"/>
    <x v="4"/>
    <x v="4"/>
    <s v="M"/>
    <x v="1"/>
    <x v="0"/>
    <x v="0"/>
    <x v="3"/>
    <x v="1"/>
    <x v="1"/>
    <x v="1"/>
  </r>
  <r>
    <x v="109"/>
    <x v="2"/>
    <x v="4"/>
    <n v="120"/>
    <n v="1440"/>
    <x v="4"/>
    <x v="0"/>
    <s v="F"/>
    <x v="2"/>
    <x v="4"/>
    <x v="0"/>
    <x v="3"/>
    <x v="3"/>
    <x v="1"/>
    <x v="2"/>
  </r>
  <r>
    <x v="110"/>
    <x v="0"/>
    <x v="12"/>
    <n v="18.899999999999999"/>
    <n v="75.599999999999994"/>
    <x v="4"/>
    <x v="4"/>
    <s v="M"/>
    <x v="0"/>
    <x v="2"/>
    <x v="0"/>
    <x v="3"/>
    <x v="1"/>
    <x v="1"/>
    <x v="1"/>
  </r>
  <r>
    <x v="111"/>
    <x v="4"/>
    <x v="0"/>
    <n v="32"/>
    <n v="32"/>
    <x v="4"/>
    <x v="4"/>
    <s v="F"/>
    <x v="4"/>
    <x v="0"/>
    <x v="0"/>
    <x v="3"/>
    <x v="1"/>
    <x v="1"/>
    <x v="2"/>
  </r>
  <r>
    <x v="112"/>
    <x v="7"/>
    <x v="1"/>
    <n v="37.299999999999997"/>
    <n v="74.599999999999994"/>
    <x v="4"/>
    <x v="0"/>
    <s v="M"/>
    <x v="2"/>
    <x v="0"/>
    <x v="0"/>
    <x v="3"/>
    <x v="3"/>
    <x v="1"/>
    <x v="1"/>
  </r>
  <r>
    <x v="113"/>
    <x v="18"/>
    <x v="0"/>
    <n v="119.8"/>
    <n v="119.8"/>
    <x v="4"/>
    <x v="0"/>
    <s v="M"/>
    <x v="1"/>
    <x v="1"/>
    <x v="0"/>
    <x v="3"/>
    <x v="3"/>
    <x v="1"/>
    <x v="1"/>
  </r>
  <r>
    <x v="114"/>
    <x v="10"/>
    <x v="1"/>
    <n v="26.4"/>
    <n v="52.8"/>
    <x v="4"/>
    <x v="6"/>
    <s v="M"/>
    <x v="2"/>
    <x v="0"/>
    <x v="0"/>
    <x v="3"/>
    <x v="2"/>
    <x v="1"/>
    <x v="1"/>
  </r>
  <r>
    <x v="115"/>
    <x v="6"/>
    <x v="13"/>
    <n v="76.5"/>
    <n v="459"/>
    <x v="4"/>
    <x v="0"/>
    <s v="F"/>
    <x v="1"/>
    <x v="1"/>
    <x v="0"/>
    <x v="3"/>
    <x v="3"/>
    <x v="1"/>
    <x v="2"/>
  </r>
  <r>
    <x v="116"/>
    <x v="4"/>
    <x v="7"/>
    <n v="45.7"/>
    <n v="457"/>
    <x v="4"/>
    <x v="0"/>
    <s v="F"/>
    <x v="2"/>
    <x v="0"/>
    <x v="0"/>
    <x v="24"/>
    <x v="3"/>
    <x v="1"/>
    <x v="2"/>
  </r>
  <r>
    <x v="117"/>
    <x v="1"/>
    <x v="4"/>
    <n v="92.6"/>
    <n v="1111.1999999999998"/>
    <x v="4"/>
    <x v="4"/>
    <s v="F"/>
    <x v="2"/>
    <x v="0"/>
    <x v="0"/>
    <x v="25"/>
    <x v="1"/>
    <x v="1"/>
    <x v="2"/>
  </r>
  <r>
    <x v="118"/>
    <x v="6"/>
    <x v="13"/>
    <n v="60.1"/>
    <n v="360.6"/>
    <x v="4"/>
    <x v="0"/>
    <s v="M"/>
    <x v="1"/>
    <x v="0"/>
    <x v="0"/>
    <x v="23"/>
    <x v="3"/>
    <x v="1"/>
    <x v="1"/>
  </r>
  <r>
    <x v="119"/>
    <x v="1"/>
    <x v="2"/>
    <n v="73"/>
    <n v="219"/>
    <x v="4"/>
    <x v="0"/>
    <s v="F"/>
    <x v="3"/>
    <x v="1"/>
    <x v="0"/>
    <x v="6"/>
    <x v="3"/>
    <x v="1"/>
    <x v="2"/>
  </r>
  <r>
    <x v="120"/>
    <x v="6"/>
    <x v="2"/>
    <n v="44.3"/>
    <n v="132.89999999999998"/>
    <x v="4"/>
    <x v="8"/>
    <s v=""/>
    <x v="2"/>
    <x v="2"/>
    <x v="0"/>
    <x v="6"/>
    <x v="5"/>
    <x v="1"/>
    <x v="0"/>
  </r>
  <r>
    <x v="121"/>
    <x v="6"/>
    <x v="2"/>
    <n v="63.3"/>
    <n v="189.89999999999998"/>
    <x v="4"/>
    <x v="0"/>
    <s v="M"/>
    <x v="2"/>
    <x v="0"/>
    <x v="0"/>
    <x v="6"/>
    <x v="3"/>
    <x v="1"/>
    <x v="1"/>
  </r>
  <r>
    <x v="122"/>
    <x v="12"/>
    <x v="0"/>
    <n v="66.8"/>
    <n v="66.8"/>
    <x v="4"/>
    <x v="0"/>
    <s v="F"/>
    <x v="1"/>
    <x v="0"/>
    <x v="0"/>
    <x v="6"/>
    <x v="3"/>
    <x v="1"/>
    <x v="2"/>
  </r>
  <r>
    <x v="123"/>
    <x v="2"/>
    <x v="1"/>
    <n v="59.7"/>
    <n v="119.4"/>
    <x v="4"/>
    <x v="0"/>
    <s v="F"/>
    <x v="0"/>
    <x v="0"/>
    <x v="0"/>
    <x v="7"/>
    <x v="3"/>
    <x v="1"/>
    <x v="2"/>
  </r>
  <r>
    <x v="124"/>
    <x v="1"/>
    <x v="13"/>
    <n v="92"/>
    <n v="552"/>
    <x v="4"/>
    <x v="4"/>
    <s v="M"/>
    <x v="0"/>
    <x v="4"/>
    <x v="0"/>
    <x v="7"/>
    <x v="1"/>
    <x v="1"/>
    <x v="1"/>
  </r>
  <r>
    <x v="125"/>
    <x v="7"/>
    <x v="1"/>
    <n v="87.6"/>
    <n v="175.2"/>
    <x v="4"/>
    <x v="4"/>
    <s v="M"/>
    <x v="1"/>
    <x v="1"/>
    <x v="0"/>
    <x v="8"/>
    <x v="1"/>
    <x v="1"/>
    <x v="1"/>
  </r>
  <r>
    <x v="126"/>
    <x v="6"/>
    <x v="2"/>
    <n v="84.5"/>
    <n v="253.5"/>
    <x v="4"/>
    <x v="0"/>
    <s v="F"/>
    <x v="1"/>
    <x v="1"/>
    <x v="0"/>
    <x v="8"/>
    <x v="3"/>
    <x v="1"/>
    <x v="2"/>
  </r>
  <r>
    <x v="127"/>
    <x v="1"/>
    <x v="1"/>
    <n v="116.3"/>
    <n v="232.6"/>
    <x v="5"/>
    <x v="6"/>
    <s v="M"/>
    <x v="2"/>
    <x v="2"/>
    <x v="0"/>
    <x v="8"/>
    <x v="1"/>
    <x v="1"/>
    <x v="1"/>
  </r>
  <r>
    <x v="128"/>
    <x v="6"/>
    <x v="9"/>
    <n v="52.7"/>
    <n v="263.5"/>
    <x v="5"/>
    <x v="9"/>
    <s v="M"/>
    <x v="0"/>
    <x v="0"/>
    <x v="0"/>
    <x v="8"/>
    <x v="5"/>
    <x v="1"/>
    <x v="1"/>
  </r>
  <r>
    <x v="129"/>
    <x v="16"/>
    <x v="2"/>
    <n v="34.200000000000003"/>
    <n v="102.60000000000001"/>
    <x v="5"/>
    <x v="4"/>
    <s v="M"/>
    <x v="0"/>
    <x v="2"/>
    <x v="0"/>
    <x v="26"/>
    <x v="3"/>
    <x v="1"/>
    <x v="1"/>
  </r>
  <r>
    <x v="130"/>
    <x v="9"/>
    <x v="0"/>
    <n v="23.3"/>
    <n v="23.3"/>
    <x v="5"/>
    <x v="11"/>
    <s v="O"/>
    <x v="2"/>
    <x v="2"/>
    <x v="0"/>
    <x v="9"/>
    <x v="8"/>
    <x v="1"/>
    <x v="3"/>
  </r>
  <r>
    <x v="131"/>
    <x v="0"/>
    <x v="18"/>
    <n v="25.9"/>
    <n v="673.4"/>
    <x v="5"/>
    <x v="8"/>
    <s v="F"/>
    <x v="4"/>
    <x v="1"/>
    <x v="0"/>
    <x v="9"/>
    <x v="2"/>
    <x v="1"/>
    <x v="2"/>
  </r>
  <r>
    <x v="132"/>
    <x v="6"/>
    <x v="19"/>
    <n v="54.9"/>
    <n v="1592.1"/>
    <x v="5"/>
    <x v="4"/>
    <s v="M"/>
    <x v="1"/>
    <x v="2"/>
    <x v="0"/>
    <x v="9"/>
    <x v="3"/>
    <x v="1"/>
    <x v="1"/>
  </r>
  <r>
    <x v="133"/>
    <x v="5"/>
    <x v="2"/>
    <n v="75.8"/>
    <n v="227.39999999999998"/>
    <x v="5"/>
    <x v="7"/>
    <s v="O"/>
    <x v="1"/>
    <x v="0"/>
    <x v="0"/>
    <x v="18"/>
    <x v="0"/>
    <x v="1"/>
    <x v="3"/>
  </r>
  <r>
    <x v="134"/>
    <x v="1"/>
    <x v="11"/>
    <n v="44.9"/>
    <n v="404.09999999999997"/>
    <x v="5"/>
    <x v="8"/>
    <s v="F"/>
    <x v="2"/>
    <x v="2"/>
    <x v="0"/>
    <x v="2"/>
    <x v="2"/>
    <x v="1"/>
    <x v="2"/>
  </r>
  <r>
    <x v="135"/>
    <x v="11"/>
    <x v="1"/>
    <n v="48.8"/>
    <n v="97.6"/>
    <x v="5"/>
    <x v="6"/>
    <s v="F"/>
    <x v="3"/>
    <x v="0"/>
    <x v="0"/>
    <x v="27"/>
    <x v="1"/>
    <x v="1"/>
    <x v="2"/>
  </r>
  <r>
    <x v="136"/>
    <x v="15"/>
    <x v="0"/>
    <n v="20.3"/>
    <n v="20.3"/>
    <x v="5"/>
    <x v="4"/>
    <s v="F"/>
    <x v="0"/>
    <x v="2"/>
    <x v="0"/>
    <x v="22"/>
    <x v="3"/>
    <x v="1"/>
    <x v="2"/>
  </r>
  <r>
    <x v="137"/>
    <x v="5"/>
    <x v="3"/>
    <n v="36.4"/>
    <n v="254.79999999999998"/>
    <x v="5"/>
    <x v="8"/>
    <s v="F"/>
    <x v="0"/>
    <x v="1"/>
    <x v="0"/>
    <x v="3"/>
    <x v="2"/>
    <x v="1"/>
    <x v="2"/>
  </r>
  <r>
    <x v="138"/>
    <x v="0"/>
    <x v="0"/>
    <n v="19"/>
    <n v="19"/>
    <x v="5"/>
    <x v="7"/>
    <s v="F"/>
    <x v="1"/>
    <x v="2"/>
    <x v="0"/>
    <x v="3"/>
    <x v="0"/>
    <x v="1"/>
    <x v="2"/>
  </r>
  <r>
    <x v="139"/>
    <x v="8"/>
    <x v="0"/>
    <n v="17.8"/>
    <n v="17.8"/>
    <x v="5"/>
    <x v="0"/>
    <s v="M"/>
    <x v="0"/>
    <x v="0"/>
    <x v="0"/>
    <x v="3"/>
    <x v="7"/>
    <x v="1"/>
    <x v="1"/>
  </r>
  <r>
    <x v="140"/>
    <x v="2"/>
    <x v="13"/>
    <n v="139.6"/>
    <n v="837.59999999999991"/>
    <x v="5"/>
    <x v="8"/>
    <s v="M"/>
    <x v="0"/>
    <x v="0"/>
    <x v="0"/>
    <x v="3"/>
    <x v="2"/>
    <x v="1"/>
    <x v="1"/>
  </r>
  <r>
    <x v="141"/>
    <x v="9"/>
    <x v="0"/>
    <n v="31.7"/>
    <n v="31.7"/>
    <x v="5"/>
    <x v="0"/>
    <s v=""/>
    <x v="0"/>
    <x v="0"/>
    <x v="0"/>
    <x v="3"/>
    <x v="7"/>
    <x v="1"/>
    <x v="0"/>
  </r>
  <r>
    <x v="142"/>
    <x v="8"/>
    <x v="8"/>
    <n v="26.3"/>
    <n v="210.4"/>
    <x v="5"/>
    <x v="8"/>
    <s v="F"/>
    <x v="4"/>
    <x v="4"/>
    <x v="0"/>
    <x v="3"/>
    <x v="2"/>
    <x v="1"/>
    <x v="2"/>
  </r>
  <r>
    <x v="143"/>
    <x v="4"/>
    <x v="1"/>
    <n v="47.8"/>
    <n v="95.6"/>
    <x v="5"/>
    <x v="4"/>
    <s v=""/>
    <x v="0"/>
    <x v="0"/>
    <x v="0"/>
    <x v="3"/>
    <x v="3"/>
    <x v="1"/>
    <x v="0"/>
  </r>
  <r>
    <x v="144"/>
    <x v="9"/>
    <x v="2"/>
    <n v="69.400000000000006"/>
    <n v="208.20000000000002"/>
    <x v="5"/>
    <x v="9"/>
    <s v="F"/>
    <x v="0"/>
    <x v="0"/>
    <x v="0"/>
    <x v="3"/>
    <x v="5"/>
    <x v="1"/>
    <x v="2"/>
  </r>
  <r>
    <x v="145"/>
    <x v="18"/>
    <x v="4"/>
    <n v="25.8"/>
    <n v="309.60000000000002"/>
    <x v="5"/>
    <x v="4"/>
    <s v="M"/>
    <x v="4"/>
    <x v="4"/>
    <x v="0"/>
    <x v="3"/>
    <x v="3"/>
    <x v="1"/>
    <x v="1"/>
  </r>
  <r>
    <x v="146"/>
    <x v="0"/>
    <x v="12"/>
    <n v="26.4"/>
    <n v="105.6"/>
    <x v="5"/>
    <x v="4"/>
    <s v="M"/>
    <x v="1"/>
    <x v="2"/>
    <x v="0"/>
    <x v="3"/>
    <x v="3"/>
    <x v="1"/>
    <x v="1"/>
  </r>
  <r>
    <x v="147"/>
    <x v="8"/>
    <x v="12"/>
    <n v="15.7"/>
    <n v="62.8"/>
    <x v="5"/>
    <x v="4"/>
    <s v="M"/>
    <x v="2"/>
    <x v="0"/>
    <x v="0"/>
    <x v="3"/>
    <x v="3"/>
    <x v="1"/>
    <x v="1"/>
  </r>
  <r>
    <x v="148"/>
    <x v="8"/>
    <x v="0"/>
    <n v="39.700000000000003"/>
    <n v="39.700000000000003"/>
    <x v="5"/>
    <x v="9"/>
    <s v="M"/>
    <x v="0"/>
    <x v="0"/>
    <x v="0"/>
    <x v="3"/>
    <x v="5"/>
    <x v="1"/>
    <x v="1"/>
  </r>
  <r>
    <x v="149"/>
    <x v="10"/>
    <x v="12"/>
    <n v="31.1"/>
    <n v="124.4"/>
    <x v="5"/>
    <x v="6"/>
    <s v="F"/>
    <x v="2"/>
    <x v="1"/>
    <x v="0"/>
    <x v="3"/>
    <x v="1"/>
    <x v="1"/>
    <x v="2"/>
  </r>
  <r>
    <x v="150"/>
    <x v="13"/>
    <x v="20"/>
    <n v="23.4"/>
    <n v="351"/>
    <x v="5"/>
    <x v="11"/>
    <s v="M"/>
    <x v="0"/>
    <x v="0"/>
    <x v="0"/>
    <x v="3"/>
    <x v="8"/>
    <x v="1"/>
    <x v="1"/>
  </r>
  <r>
    <x v="151"/>
    <x v="1"/>
    <x v="12"/>
    <n v="57.1"/>
    <n v="228.4"/>
    <x v="6"/>
    <x v="6"/>
    <s v="M"/>
    <x v="2"/>
    <x v="0"/>
    <x v="0"/>
    <x v="25"/>
    <x v="3"/>
    <x v="1"/>
    <x v="1"/>
  </r>
  <r>
    <x v="152"/>
    <x v="2"/>
    <x v="9"/>
    <n v="89.9"/>
    <n v="449.5"/>
    <x v="6"/>
    <x v="4"/>
    <s v="F"/>
    <x v="0"/>
    <x v="3"/>
    <x v="0"/>
    <x v="23"/>
    <x v="7"/>
    <x v="1"/>
    <x v="2"/>
  </r>
  <r>
    <x v="153"/>
    <x v="10"/>
    <x v="3"/>
    <n v="48.1"/>
    <n v="336.7"/>
    <x v="6"/>
    <x v="8"/>
    <s v="F"/>
    <x v="1"/>
    <x v="2"/>
    <x v="0"/>
    <x v="6"/>
    <x v="1"/>
    <x v="1"/>
    <x v="2"/>
  </r>
  <r>
    <x v="154"/>
    <x v="8"/>
    <x v="1"/>
    <n v="29.3"/>
    <n v="58.6"/>
    <x v="6"/>
    <x v="4"/>
    <s v="F"/>
    <x v="1"/>
    <x v="1"/>
    <x v="0"/>
    <x v="6"/>
    <x v="7"/>
    <x v="1"/>
    <x v="2"/>
  </r>
  <r>
    <x v="155"/>
    <x v="8"/>
    <x v="12"/>
    <n v="28.8"/>
    <n v="115.2"/>
    <x v="6"/>
    <x v="6"/>
    <s v="F"/>
    <x v="0"/>
    <x v="4"/>
    <x v="0"/>
    <x v="6"/>
    <x v="3"/>
    <x v="1"/>
    <x v="2"/>
  </r>
  <r>
    <x v="156"/>
    <x v="10"/>
    <x v="9"/>
    <n v="40.5"/>
    <n v="202.5"/>
    <x v="6"/>
    <x v="7"/>
    <s v="F"/>
    <x v="3"/>
    <x v="0"/>
    <x v="0"/>
    <x v="6"/>
    <x v="5"/>
    <x v="1"/>
    <x v="2"/>
  </r>
  <r>
    <x v="157"/>
    <x v="18"/>
    <x v="21"/>
    <n v="65.099999999999994"/>
    <n v="911.39999999999986"/>
    <x v="6"/>
    <x v="6"/>
    <s v="F"/>
    <x v="4"/>
    <x v="0"/>
    <x v="0"/>
    <x v="7"/>
    <x v="3"/>
    <x v="1"/>
    <x v="2"/>
  </r>
  <r>
    <x v="158"/>
    <x v="8"/>
    <x v="12"/>
    <n v="40.299999999999997"/>
    <n v="161.19999999999999"/>
    <x v="6"/>
    <x v="12"/>
    <s v="F"/>
    <x v="2"/>
    <x v="0"/>
    <x v="0"/>
    <x v="7"/>
    <x v="0"/>
    <x v="1"/>
    <x v="2"/>
  </r>
  <r>
    <x v="159"/>
    <x v="6"/>
    <x v="9"/>
    <n v="51.8"/>
    <n v="259"/>
    <x v="6"/>
    <x v="6"/>
    <s v="M"/>
    <x v="2"/>
    <x v="2"/>
    <x v="0"/>
    <x v="8"/>
    <x v="3"/>
    <x v="1"/>
    <x v="1"/>
  </r>
  <r>
    <x v="160"/>
    <x v="6"/>
    <x v="2"/>
    <n v="61.3"/>
    <n v="183.89999999999998"/>
    <x v="6"/>
    <x v="6"/>
    <s v="F"/>
    <x v="3"/>
    <x v="0"/>
    <x v="0"/>
    <x v="8"/>
    <x v="3"/>
    <x v="1"/>
    <x v="2"/>
  </r>
  <r>
    <x v="161"/>
    <x v="2"/>
    <x v="12"/>
    <n v="122.5"/>
    <n v="490"/>
    <x v="6"/>
    <x v="6"/>
    <s v="M"/>
    <x v="0"/>
    <x v="0"/>
    <x v="0"/>
    <x v="8"/>
    <x v="3"/>
    <x v="1"/>
    <x v="1"/>
  </r>
  <r>
    <x v="162"/>
    <x v="0"/>
    <x v="11"/>
    <n v="12.5"/>
    <n v="112.5"/>
    <x v="6"/>
    <x v="6"/>
    <s v=""/>
    <x v="1"/>
    <x v="2"/>
    <x v="0"/>
    <x v="8"/>
    <x v="3"/>
    <x v="1"/>
    <x v="0"/>
  </r>
  <r>
    <x v="163"/>
    <x v="15"/>
    <x v="8"/>
    <n v="37.5"/>
    <n v="300"/>
    <x v="6"/>
    <x v="6"/>
    <s v="F"/>
    <x v="0"/>
    <x v="0"/>
    <x v="0"/>
    <x v="9"/>
    <x v="3"/>
    <x v="1"/>
    <x v="2"/>
  </r>
  <r>
    <x v="164"/>
    <x v="6"/>
    <x v="2"/>
    <n v="40"/>
    <n v="120"/>
    <x v="6"/>
    <x v="9"/>
    <s v="M"/>
    <x v="0"/>
    <x v="4"/>
    <x v="0"/>
    <x v="11"/>
    <x v="2"/>
    <x v="1"/>
    <x v="1"/>
  </r>
  <r>
    <x v="165"/>
    <x v="17"/>
    <x v="8"/>
    <n v="38.5"/>
    <n v="308"/>
    <x v="6"/>
    <x v="12"/>
    <s v="F"/>
    <x v="2"/>
    <x v="1"/>
    <x v="0"/>
    <x v="11"/>
    <x v="0"/>
    <x v="1"/>
    <x v="2"/>
  </r>
  <r>
    <x v="166"/>
    <x v="2"/>
    <x v="1"/>
    <n v="86.4"/>
    <n v="172.8"/>
    <x v="6"/>
    <x v="8"/>
    <s v="F"/>
    <x v="0"/>
    <x v="0"/>
    <x v="0"/>
    <x v="18"/>
    <x v="1"/>
    <x v="1"/>
    <x v="2"/>
  </r>
  <r>
    <x v="167"/>
    <x v="10"/>
    <x v="0"/>
    <n v="50.7"/>
    <n v="50.7"/>
    <x v="6"/>
    <x v="7"/>
    <s v="F"/>
    <x v="1"/>
    <x v="0"/>
    <x v="0"/>
    <x v="18"/>
    <x v="5"/>
    <x v="1"/>
    <x v="2"/>
  </r>
  <r>
    <x v="168"/>
    <x v="10"/>
    <x v="1"/>
    <n v="61"/>
    <n v="122"/>
    <x v="6"/>
    <x v="13"/>
    <s v="F"/>
    <x v="4"/>
    <x v="1"/>
    <x v="0"/>
    <x v="18"/>
    <x v="11"/>
    <x v="1"/>
    <x v="2"/>
  </r>
  <r>
    <x v="169"/>
    <x v="4"/>
    <x v="1"/>
    <n v="19.899999999999999"/>
    <n v="39.799999999999997"/>
    <x v="6"/>
    <x v="9"/>
    <s v="F"/>
    <x v="1"/>
    <x v="0"/>
    <x v="0"/>
    <x v="28"/>
    <x v="2"/>
    <x v="1"/>
    <x v="2"/>
  </r>
  <r>
    <x v="170"/>
    <x v="5"/>
    <x v="0"/>
    <n v="78.3"/>
    <n v="78.3"/>
    <x v="6"/>
    <x v="4"/>
    <s v="F"/>
    <x v="0"/>
    <x v="2"/>
    <x v="0"/>
    <x v="1"/>
    <x v="7"/>
    <x v="1"/>
    <x v="2"/>
  </r>
  <r>
    <x v="171"/>
    <x v="0"/>
    <x v="10"/>
    <n v="10.4"/>
    <n v="197.6"/>
    <x v="6"/>
    <x v="8"/>
    <s v="M"/>
    <x v="0"/>
    <x v="2"/>
    <x v="0"/>
    <x v="2"/>
    <x v="1"/>
    <x v="1"/>
    <x v="1"/>
  </r>
  <r>
    <x v="172"/>
    <x v="10"/>
    <x v="0"/>
    <n v="36.1"/>
    <n v="36.1"/>
    <x v="6"/>
    <x v="9"/>
    <s v="M"/>
    <x v="3"/>
    <x v="2"/>
    <x v="0"/>
    <x v="3"/>
    <x v="2"/>
    <x v="1"/>
    <x v="1"/>
  </r>
  <r>
    <x v="173"/>
    <x v="14"/>
    <x v="1"/>
    <n v="17.3"/>
    <n v="34.6"/>
    <x v="6"/>
    <x v="8"/>
    <s v="F"/>
    <x v="1"/>
    <x v="2"/>
    <x v="0"/>
    <x v="3"/>
    <x v="1"/>
    <x v="1"/>
    <x v="2"/>
  </r>
  <r>
    <x v="174"/>
    <x v="10"/>
    <x v="1"/>
    <n v="30.5"/>
    <n v="61"/>
    <x v="6"/>
    <x v="6"/>
    <s v="F"/>
    <x v="1"/>
    <x v="2"/>
    <x v="0"/>
    <x v="3"/>
    <x v="3"/>
    <x v="1"/>
    <x v="2"/>
  </r>
  <r>
    <x v="175"/>
    <x v="18"/>
    <x v="22"/>
    <n v="70.099999999999994"/>
    <n v="4346.2"/>
    <x v="6"/>
    <x v="4"/>
    <s v="F"/>
    <x v="2"/>
    <x v="0"/>
    <x v="0"/>
    <x v="3"/>
    <x v="7"/>
    <x v="1"/>
    <x v="2"/>
  </r>
  <r>
    <x v="176"/>
    <x v="3"/>
    <x v="0"/>
    <n v="76.099999999999994"/>
    <n v="76.099999999999994"/>
    <x v="6"/>
    <x v="4"/>
    <s v="F"/>
    <x v="2"/>
    <x v="1"/>
    <x v="0"/>
    <x v="3"/>
    <x v="7"/>
    <x v="1"/>
    <x v="2"/>
  </r>
  <r>
    <x v="177"/>
    <x v="15"/>
    <x v="15"/>
    <n v="34.200000000000003"/>
    <n v="444.6"/>
    <x v="6"/>
    <x v="6"/>
    <s v="M"/>
    <x v="0"/>
    <x v="0"/>
    <x v="0"/>
    <x v="3"/>
    <x v="3"/>
    <x v="1"/>
    <x v="1"/>
  </r>
  <r>
    <x v="178"/>
    <x v="8"/>
    <x v="9"/>
    <n v="30.3"/>
    <n v="151.5"/>
    <x v="6"/>
    <x v="12"/>
    <s v="F"/>
    <x v="4"/>
    <x v="0"/>
    <x v="0"/>
    <x v="3"/>
    <x v="0"/>
    <x v="1"/>
    <x v="2"/>
  </r>
  <r>
    <x v="179"/>
    <x v="6"/>
    <x v="9"/>
    <n v="52.5"/>
    <n v="262.5"/>
    <x v="6"/>
    <x v="7"/>
    <s v=""/>
    <x v="3"/>
    <x v="0"/>
    <x v="0"/>
    <x v="3"/>
    <x v="5"/>
    <x v="1"/>
    <x v="0"/>
  </r>
  <r>
    <x v="180"/>
    <x v="9"/>
    <x v="5"/>
    <n v="28.7"/>
    <n v="315.7"/>
    <x v="6"/>
    <x v="6"/>
    <s v="F"/>
    <x v="2"/>
    <x v="0"/>
    <x v="0"/>
    <x v="3"/>
    <x v="3"/>
    <x v="1"/>
    <x v="2"/>
  </r>
  <r>
    <x v="181"/>
    <x v="7"/>
    <x v="3"/>
    <n v="52"/>
    <n v="364"/>
    <x v="6"/>
    <x v="6"/>
    <s v="M"/>
    <x v="1"/>
    <x v="4"/>
    <x v="0"/>
    <x v="3"/>
    <x v="3"/>
    <x v="1"/>
    <x v="1"/>
  </r>
  <r>
    <x v="182"/>
    <x v="0"/>
    <x v="0"/>
    <n v="13.3"/>
    <n v="13.3"/>
    <x v="7"/>
    <x v="12"/>
    <s v="F"/>
    <x v="2"/>
    <x v="1"/>
    <x v="0"/>
    <x v="3"/>
    <x v="5"/>
    <x v="1"/>
    <x v="2"/>
  </r>
  <r>
    <x v="183"/>
    <x v="0"/>
    <x v="2"/>
    <n v="15.7"/>
    <n v="47.099999999999994"/>
    <x v="7"/>
    <x v="8"/>
    <s v="F"/>
    <x v="1"/>
    <x v="0"/>
    <x v="0"/>
    <x v="29"/>
    <x v="3"/>
    <x v="1"/>
    <x v="2"/>
  </r>
  <r>
    <x v="184"/>
    <x v="8"/>
    <x v="1"/>
    <n v="25.6"/>
    <n v="51.2"/>
    <x v="7"/>
    <x v="8"/>
    <s v="M"/>
    <x v="0"/>
    <x v="2"/>
    <x v="0"/>
    <x v="23"/>
    <x v="3"/>
    <x v="1"/>
    <x v="1"/>
  </r>
  <r>
    <x v="185"/>
    <x v="8"/>
    <x v="0"/>
    <n v="43.4"/>
    <n v="43.4"/>
    <x v="7"/>
    <x v="14"/>
    <s v="M"/>
    <x v="0"/>
    <x v="0"/>
    <x v="0"/>
    <x v="6"/>
    <x v="0"/>
    <x v="1"/>
    <x v="1"/>
  </r>
  <r>
    <x v="186"/>
    <x v="11"/>
    <x v="11"/>
    <n v="33.4"/>
    <n v="300.59999999999997"/>
    <x v="7"/>
    <x v="6"/>
    <s v="F"/>
    <x v="0"/>
    <x v="0"/>
    <x v="0"/>
    <x v="8"/>
    <x v="7"/>
    <x v="1"/>
    <x v="2"/>
  </r>
  <r>
    <x v="187"/>
    <x v="8"/>
    <x v="10"/>
    <n v="55"/>
    <n v="1045"/>
    <x v="7"/>
    <x v="8"/>
    <s v="F"/>
    <x v="1"/>
    <x v="2"/>
    <x v="0"/>
    <x v="8"/>
    <x v="3"/>
    <x v="1"/>
    <x v="2"/>
  </r>
  <r>
    <x v="188"/>
    <x v="8"/>
    <x v="2"/>
    <n v="23.6"/>
    <n v="70.800000000000011"/>
    <x v="7"/>
    <x v="8"/>
    <s v="M"/>
    <x v="0"/>
    <x v="2"/>
    <x v="0"/>
    <x v="8"/>
    <x v="3"/>
    <x v="1"/>
    <x v="1"/>
  </r>
  <r>
    <x v="189"/>
    <x v="12"/>
    <x v="11"/>
    <n v="104"/>
    <n v="936"/>
    <x v="7"/>
    <x v="9"/>
    <s v="F"/>
    <x v="2"/>
    <x v="2"/>
    <x v="0"/>
    <x v="17"/>
    <x v="1"/>
    <x v="1"/>
    <x v="2"/>
  </r>
  <r>
    <x v="190"/>
    <x v="6"/>
    <x v="1"/>
    <n v="51.8"/>
    <n v="103.6"/>
    <x v="7"/>
    <x v="12"/>
    <s v=""/>
    <x v="0"/>
    <x v="2"/>
    <x v="0"/>
    <x v="10"/>
    <x v="5"/>
    <x v="1"/>
    <x v="0"/>
  </r>
  <r>
    <x v="191"/>
    <x v="10"/>
    <x v="9"/>
    <n v="34.5"/>
    <n v="172.5"/>
    <x v="7"/>
    <x v="9"/>
    <s v=""/>
    <x v="2"/>
    <x v="2"/>
    <x v="0"/>
    <x v="11"/>
    <x v="1"/>
    <x v="1"/>
    <x v="0"/>
  </r>
  <r>
    <x v="192"/>
    <x v="6"/>
    <x v="1"/>
    <n v="51.8"/>
    <n v="103.6"/>
    <x v="7"/>
    <x v="9"/>
    <s v="M"/>
    <x v="1"/>
    <x v="2"/>
    <x v="0"/>
    <x v="30"/>
    <x v="1"/>
    <x v="1"/>
    <x v="1"/>
  </r>
  <r>
    <x v="193"/>
    <x v="18"/>
    <x v="23"/>
    <n v="131.5"/>
    <n v="5654.5"/>
    <x v="7"/>
    <x v="8"/>
    <s v="F"/>
    <x v="0"/>
    <x v="2"/>
    <x v="0"/>
    <x v="18"/>
    <x v="3"/>
    <x v="1"/>
    <x v="2"/>
  </r>
  <r>
    <x v="194"/>
    <x v="8"/>
    <x v="3"/>
    <n v="47.8"/>
    <n v="334.59999999999997"/>
    <x v="7"/>
    <x v="6"/>
    <s v="F"/>
    <x v="0"/>
    <x v="0"/>
    <x v="0"/>
    <x v="19"/>
    <x v="7"/>
    <x v="1"/>
    <x v="2"/>
  </r>
  <r>
    <x v="195"/>
    <x v="0"/>
    <x v="1"/>
    <n v="10.199999999999999"/>
    <n v="20.399999999999999"/>
    <x v="7"/>
    <x v="9"/>
    <s v="F"/>
    <x v="0"/>
    <x v="0"/>
    <x v="0"/>
    <x v="19"/>
    <x v="1"/>
    <x v="1"/>
    <x v="2"/>
  </r>
  <r>
    <x v="196"/>
    <x v="8"/>
    <x v="8"/>
    <n v="41"/>
    <n v="328"/>
    <x v="7"/>
    <x v="6"/>
    <s v="F"/>
    <x v="1"/>
    <x v="2"/>
    <x v="0"/>
    <x v="19"/>
    <x v="7"/>
    <x v="1"/>
    <x v="2"/>
  </r>
  <r>
    <x v="197"/>
    <x v="10"/>
    <x v="3"/>
    <n v="50.8"/>
    <n v="355.59999999999997"/>
    <x v="7"/>
    <x v="7"/>
    <s v="F"/>
    <x v="1"/>
    <x v="0"/>
    <x v="0"/>
    <x v="21"/>
    <x v="2"/>
    <x v="1"/>
    <x v="2"/>
  </r>
  <r>
    <x v="198"/>
    <x v="18"/>
    <x v="2"/>
    <n v="39.6"/>
    <n v="118.80000000000001"/>
    <x v="7"/>
    <x v="8"/>
    <s v="M"/>
    <x v="2"/>
    <x v="2"/>
    <x v="0"/>
    <x v="1"/>
    <x v="3"/>
    <x v="1"/>
    <x v="1"/>
  </r>
  <r>
    <x v="199"/>
    <x v="5"/>
    <x v="1"/>
    <n v="69.5"/>
    <n v="139"/>
    <x v="7"/>
    <x v="9"/>
    <s v="M"/>
    <x v="0"/>
    <x v="2"/>
    <x v="0"/>
    <x v="2"/>
    <x v="1"/>
    <x v="1"/>
    <x v="1"/>
  </r>
  <r>
    <x v="200"/>
    <x v="8"/>
    <x v="8"/>
    <n v="32.6"/>
    <n v="260.8"/>
    <x v="7"/>
    <x v="7"/>
    <s v="M"/>
    <x v="1"/>
    <x v="0"/>
    <x v="0"/>
    <x v="3"/>
    <x v="2"/>
    <x v="1"/>
    <x v="1"/>
  </r>
  <r>
    <x v="201"/>
    <x v="7"/>
    <x v="1"/>
    <n v="49.1"/>
    <n v="98.2"/>
    <x v="7"/>
    <x v="15"/>
    <s v="M"/>
    <x v="3"/>
    <x v="2"/>
    <x v="0"/>
    <x v="3"/>
    <x v="9"/>
    <x v="1"/>
    <x v="1"/>
  </r>
  <r>
    <x v="202"/>
    <x v="6"/>
    <x v="1"/>
    <n v="49.4"/>
    <n v="98.8"/>
    <x v="8"/>
    <x v="9"/>
    <s v="F"/>
    <x v="2"/>
    <x v="0"/>
    <x v="0"/>
    <x v="3"/>
    <x v="3"/>
    <x v="1"/>
    <x v="2"/>
  </r>
  <r>
    <x v="203"/>
    <x v="7"/>
    <x v="3"/>
    <n v="65.099999999999994"/>
    <n v="455.69999999999993"/>
    <x v="8"/>
    <x v="12"/>
    <s v="F"/>
    <x v="2"/>
    <x v="2"/>
    <x v="0"/>
    <x v="3"/>
    <x v="2"/>
    <x v="1"/>
    <x v="2"/>
  </r>
  <r>
    <x v="204"/>
    <x v="3"/>
    <x v="1"/>
    <n v="52.1"/>
    <n v="104.2"/>
    <x v="8"/>
    <x v="14"/>
    <s v="F"/>
    <x v="2"/>
    <x v="0"/>
    <x v="0"/>
    <x v="3"/>
    <x v="5"/>
    <x v="1"/>
    <x v="2"/>
  </r>
  <r>
    <x v="205"/>
    <x v="2"/>
    <x v="12"/>
    <n v="129.19999999999999"/>
    <n v="516.79999999999995"/>
    <x v="8"/>
    <x v="9"/>
    <s v="F"/>
    <x v="1"/>
    <x v="0"/>
    <x v="0"/>
    <x v="3"/>
    <x v="3"/>
    <x v="1"/>
    <x v="2"/>
  </r>
  <r>
    <x v="206"/>
    <x v="1"/>
    <x v="10"/>
    <n v="81.8"/>
    <n v="1554.2"/>
    <x v="8"/>
    <x v="8"/>
    <s v="F"/>
    <x v="1"/>
    <x v="1"/>
    <x v="0"/>
    <x v="3"/>
    <x v="7"/>
    <x v="1"/>
    <x v="2"/>
  </r>
  <r>
    <x v="207"/>
    <x v="17"/>
    <x v="0"/>
    <n v="24.9"/>
    <n v="24.9"/>
    <x v="8"/>
    <x v="14"/>
    <s v="F"/>
    <x v="1"/>
    <x v="0"/>
    <x v="0"/>
    <x v="3"/>
    <x v="5"/>
    <x v="1"/>
    <x v="2"/>
  </r>
  <r>
    <x v="208"/>
    <x v="0"/>
    <x v="2"/>
    <n v="49.4"/>
    <n v="148.19999999999999"/>
    <x v="8"/>
    <x v="12"/>
    <s v="F"/>
    <x v="4"/>
    <x v="4"/>
    <x v="0"/>
    <x v="3"/>
    <x v="2"/>
    <x v="1"/>
    <x v="2"/>
  </r>
  <r>
    <x v="209"/>
    <x v="8"/>
    <x v="1"/>
    <n v="22.7"/>
    <n v="45.4"/>
    <x v="8"/>
    <x v="9"/>
    <s v="M"/>
    <x v="3"/>
    <x v="2"/>
    <x v="0"/>
    <x v="3"/>
    <x v="3"/>
    <x v="1"/>
    <x v="1"/>
  </r>
  <r>
    <x v="210"/>
    <x v="1"/>
    <x v="0"/>
    <n v="77.3"/>
    <n v="77.3"/>
    <x v="8"/>
    <x v="8"/>
    <s v="F"/>
    <x v="0"/>
    <x v="2"/>
    <x v="0"/>
    <x v="6"/>
    <x v="7"/>
    <x v="1"/>
    <x v="2"/>
  </r>
  <r>
    <x v="211"/>
    <x v="1"/>
    <x v="9"/>
    <n v="109.1"/>
    <n v="545.5"/>
    <x v="8"/>
    <x v="12"/>
    <s v="F"/>
    <x v="0"/>
    <x v="0"/>
    <x v="0"/>
    <x v="6"/>
    <x v="2"/>
    <x v="1"/>
    <x v="2"/>
  </r>
  <r>
    <x v="212"/>
    <x v="2"/>
    <x v="12"/>
    <n v="53.9"/>
    <n v="215.6"/>
    <x v="8"/>
    <x v="9"/>
    <s v="M"/>
    <x v="0"/>
    <x v="1"/>
    <x v="0"/>
    <x v="8"/>
    <x v="3"/>
    <x v="1"/>
    <x v="1"/>
  </r>
  <r>
    <x v="213"/>
    <x v="9"/>
    <x v="18"/>
    <n v="21.2"/>
    <n v="551.19999999999993"/>
    <x v="8"/>
    <x v="8"/>
    <s v="F"/>
    <x v="0"/>
    <x v="0"/>
    <x v="0"/>
    <x v="9"/>
    <x v="7"/>
    <x v="1"/>
    <x v="2"/>
  </r>
  <r>
    <x v="214"/>
    <x v="16"/>
    <x v="12"/>
    <n v="69"/>
    <n v="276"/>
    <x v="8"/>
    <x v="7"/>
    <s v="F"/>
    <x v="1"/>
    <x v="1"/>
    <x v="0"/>
    <x v="18"/>
    <x v="1"/>
    <x v="1"/>
    <x v="2"/>
  </r>
  <r>
    <x v="215"/>
    <x v="6"/>
    <x v="2"/>
    <n v="46.2"/>
    <n v="138.60000000000002"/>
    <x v="8"/>
    <x v="7"/>
    <s v="F"/>
    <x v="0"/>
    <x v="2"/>
    <x v="0"/>
    <x v="31"/>
    <x v="1"/>
    <x v="1"/>
    <x v="2"/>
  </r>
  <r>
    <x v="216"/>
    <x v="1"/>
    <x v="9"/>
    <n v="97.4"/>
    <n v="487"/>
    <x v="8"/>
    <x v="14"/>
    <s v="F"/>
    <x v="4"/>
    <x v="2"/>
    <x v="0"/>
    <x v="21"/>
    <x v="5"/>
    <x v="1"/>
    <x v="2"/>
  </r>
  <r>
    <x v="217"/>
    <x v="8"/>
    <x v="9"/>
    <n v="21"/>
    <n v="105"/>
    <x v="8"/>
    <x v="9"/>
    <s v="M"/>
    <x v="0"/>
    <x v="1"/>
    <x v="0"/>
    <x v="21"/>
    <x v="3"/>
    <x v="1"/>
    <x v="1"/>
  </r>
  <r>
    <x v="218"/>
    <x v="5"/>
    <x v="1"/>
    <n v="32.700000000000003"/>
    <n v="65.400000000000006"/>
    <x v="9"/>
    <x v="14"/>
    <s v="F"/>
    <x v="1"/>
    <x v="0"/>
    <x v="0"/>
    <x v="2"/>
    <x v="2"/>
    <x v="1"/>
    <x v="2"/>
  </r>
  <r>
    <x v="219"/>
    <x v="6"/>
    <x v="12"/>
    <n v="48"/>
    <n v="192"/>
    <x v="9"/>
    <x v="7"/>
    <s v="M"/>
    <x v="3"/>
    <x v="0"/>
    <x v="0"/>
    <x v="3"/>
    <x v="3"/>
    <x v="1"/>
    <x v="1"/>
  </r>
  <r>
    <x v="220"/>
    <x v="6"/>
    <x v="2"/>
    <n v="68.2"/>
    <n v="204.60000000000002"/>
    <x v="9"/>
    <x v="16"/>
    <s v=""/>
    <x v="0"/>
    <x v="2"/>
    <x v="0"/>
    <x v="3"/>
    <x v="5"/>
    <x v="1"/>
    <x v="0"/>
  </r>
  <r>
    <x v="221"/>
    <x v="5"/>
    <x v="0"/>
    <n v="45.4"/>
    <n v="45.4"/>
    <x v="9"/>
    <x v="12"/>
    <s v="M"/>
    <x v="1"/>
    <x v="0"/>
    <x v="0"/>
    <x v="3"/>
    <x v="1"/>
    <x v="1"/>
    <x v="1"/>
  </r>
  <r>
    <x v="222"/>
    <x v="12"/>
    <x v="1"/>
    <n v="53.9"/>
    <n v="107.8"/>
    <x v="9"/>
    <x v="7"/>
    <s v="F"/>
    <x v="2"/>
    <x v="0"/>
    <x v="0"/>
    <x v="3"/>
    <x v="3"/>
    <x v="1"/>
    <x v="2"/>
  </r>
  <r>
    <x v="223"/>
    <x v="2"/>
    <x v="12"/>
    <n v="62.1"/>
    <n v="248.4"/>
    <x v="9"/>
    <x v="16"/>
    <s v="F"/>
    <x v="0"/>
    <x v="0"/>
    <x v="0"/>
    <x v="4"/>
    <x v="5"/>
    <x v="1"/>
    <x v="2"/>
  </r>
  <r>
    <x v="224"/>
    <x v="13"/>
    <x v="3"/>
    <n v="33.1"/>
    <n v="231.70000000000002"/>
    <x v="9"/>
    <x v="11"/>
    <s v="M"/>
    <x v="1"/>
    <x v="0"/>
    <x v="0"/>
    <x v="6"/>
    <x v="0"/>
    <x v="1"/>
    <x v="1"/>
  </r>
  <r>
    <x v="225"/>
    <x v="18"/>
    <x v="9"/>
    <n v="35.200000000000003"/>
    <n v="176"/>
    <x v="9"/>
    <x v="9"/>
    <s v="F"/>
    <x v="1"/>
    <x v="0"/>
    <x v="0"/>
    <x v="6"/>
    <x v="7"/>
    <x v="1"/>
    <x v="2"/>
  </r>
  <r>
    <x v="226"/>
    <x v="9"/>
    <x v="2"/>
    <n v="32.1"/>
    <n v="96.300000000000011"/>
    <x v="9"/>
    <x v="11"/>
    <s v="M"/>
    <x v="3"/>
    <x v="0"/>
    <x v="0"/>
    <x v="8"/>
    <x v="0"/>
    <x v="1"/>
    <x v="1"/>
  </r>
  <r>
    <x v="227"/>
    <x v="11"/>
    <x v="0"/>
    <n v="38.1"/>
    <n v="38.1"/>
    <x v="9"/>
    <x v="11"/>
    <s v="F"/>
    <x v="0"/>
    <x v="2"/>
    <x v="0"/>
    <x v="8"/>
    <x v="0"/>
    <x v="1"/>
    <x v="2"/>
  </r>
  <r>
    <x v="228"/>
    <x v="8"/>
    <x v="0"/>
    <n v="65.2"/>
    <n v="65.2"/>
    <x v="9"/>
    <x v="11"/>
    <s v="F"/>
    <x v="3"/>
    <x v="1"/>
    <x v="0"/>
    <x v="8"/>
    <x v="0"/>
    <x v="1"/>
    <x v="2"/>
  </r>
  <r>
    <x v="229"/>
    <x v="10"/>
    <x v="3"/>
    <n v="55.2"/>
    <n v="386.40000000000003"/>
    <x v="9"/>
    <x v="7"/>
    <s v="M"/>
    <x v="2"/>
    <x v="0"/>
    <x v="0"/>
    <x v="11"/>
    <x v="3"/>
    <x v="1"/>
    <x v="1"/>
  </r>
  <r>
    <x v="230"/>
    <x v="6"/>
    <x v="0"/>
    <n v="62"/>
    <n v="62"/>
    <x v="9"/>
    <x v="16"/>
    <s v="F"/>
    <x v="0"/>
    <x v="0"/>
    <x v="0"/>
    <x v="11"/>
    <x v="5"/>
    <x v="1"/>
    <x v="2"/>
  </r>
  <r>
    <x v="231"/>
    <x v="7"/>
    <x v="2"/>
    <n v="45.9"/>
    <n v="137.69999999999999"/>
    <x v="9"/>
    <x v="7"/>
    <s v="F"/>
    <x v="2"/>
    <x v="0"/>
    <x v="0"/>
    <x v="32"/>
    <x v="3"/>
    <x v="1"/>
    <x v="2"/>
  </r>
  <r>
    <x v="232"/>
    <x v="18"/>
    <x v="2"/>
    <n v="58.3"/>
    <n v="174.89999999999998"/>
    <x v="9"/>
    <x v="9"/>
    <s v="M"/>
    <x v="1"/>
    <x v="1"/>
    <x v="0"/>
    <x v="18"/>
    <x v="7"/>
    <x v="1"/>
    <x v="1"/>
  </r>
  <r>
    <x v="233"/>
    <x v="8"/>
    <x v="1"/>
    <n v="22.3"/>
    <n v="44.6"/>
    <x v="9"/>
    <x v="14"/>
    <s v="F"/>
    <x v="0"/>
    <x v="2"/>
    <x v="0"/>
    <x v="20"/>
    <x v="2"/>
    <x v="1"/>
    <x v="2"/>
  </r>
  <r>
    <x v="234"/>
    <x v="19"/>
    <x v="9"/>
    <n v="24"/>
    <n v="120"/>
    <x v="9"/>
    <x v="7"/>
    <s v="M"/>
    <x v="4"/>
    <x v="0"/>
    <x v="0"/>
    <x v="1"/>
    <x v="3"/>
    <x v="1"/>
    <x v="1"/>
  </r>
  <r>
    <x v="235"/>
    <x v="0"/>
    <x v="7"/>
    <n v="21.3"/>
    <n v="213"/>
    <x v="9"/>
    <x v="9"/>
    <s v="F"/>
    <x v="1"/>
    <x v="2"/>
    <x v="0"/>
    <x v="22"/>
    <x v="7"/>
    <x v="1"/>
    <x v="2"/>
  </r>
  <r>
    <x v="236"/>
    <x v="6"/>
    <x v="24"/>
    <n v="57.8"/>
    <n v="2369.7999999999997"/>
    <x v="9"/>
    <x v="12"/>
    <s v="F"/>
    <x v="0"/>
    <x v="2"/>
    <x v="0"/>
    <x v="3"/>
    <x v="1"/>
    <x v="1"/>
    <x v="2"/>
  </r>
  <r>
    <x v="237"/>
    <x v="10"/>
    <x v="2"/>
    <n v="67.599999999999994"/>
    <n v="202.79999999999998"/>
    <x v="9"/>
    <x v="7"/>
    <s v="F"/>
    <x v="0"/>
    <x v="0"/>
    <x v="0"/>
    <x v="3"/>
    <x v="3"/>
    <x v="1"/>
    <x v="2"/>
  </r>
  <r>
    <x v="238"/>
    <x v="6"/>
    <x v="13"/>
    <n v="66.7"/>
    <n v="400.20000000000005"/>
    <x v="9"/>
    <x v="16"/>
    <s v="M"/>
    <x v="4"/>
    <x v="1"/>
    <x v="0"/>
    <x v="3"/>
    <x v="5"/>
    <x v="1"/>
    <x v="1"/>
  </r>
  <r>
    <x v="239"/>
    <x v="1"/>
    <x v="12"/>
    <n v="53.1"/>
    <n v="212.4"/>
    <x v="9"/>
    <x v="12"/>
    <s v="F"/>
    <x v="1"/>
    <x v="0"/>
    <x v="0"/>
    <x v="3"/>
    <x v="1"/>
    <x v="1"/>
    <x v="2"/>
  </r>
  <r>
    <x v="240"/>
    <x v="12"/>
    <x v="2"/>
    <n v="57.4"/>
    <n v="172.2"/>
    <x v="9"/>
    <x v="14"/>
    <s v="F"/>
    <x v="0"/>
    <x v="2"/>
    <x v="0"/>
    <x v="29"/>
    <x v="2"/>
    <x v="1"/>
    <x v="2"/>
  </r>
  <r>
    <x v="241"/>
    <x v="2"/>
    <x v="9"/>
    <n v="58.1"/>
    <n v="290.5"/>
    <x v="9"/>
    <x v="9"/>
    <s v="M"/>
    <x v="2"/>
    <x v="2"/>
    <x v="0"/>
    <x v="6"/>
    <x v="7"/>
    <x v="1"/>
    <x v="1"/>
  </r>
  <r>
    <x v="242"/>
    <x v="5"/>
    <x v="2"/>
    <n v="31.8"/>
    <n v="95.4"/>
    <x v="10"/>
    <x v="14"/>
    <s v="M"/>
    <x v="3"/>
    <x v="0"/>
    <x v="0"/>
    <x v="6"/>
    <x v="1"/>
    <x v="1"/>
    <x v="1"/>
  </r>
  <r>
    <x v="243"/>
    <x v="4"/>
    <x v="2"/>
    <n v="31.5"/>
    <n v="94.5"/>
    <x v="10"/>
    <x v="16"/>
    <s v="M"/>
    <x v="0"/>
    <x v="1"/>
    <x v="0"/>
    <x v="8"/>
    <x v="2"/>
    <x v="1"/>
    <x v="1"/>
  </r>
  <r>
    <x v="244"/>
    <x v="6"/>
    <x v="3"/>
    <n v="55.9"/>
    <n v="391.3"/>
    <x v="10"/>
    <x v="11"/>
    <s v="F"/>
    <x v="1"/>
    <x v="2"/>
    <x v="0"/>
    <x v="8"/>
    <x v="5"/>
    <x v="1"/>
    <x v="2"/>
  </r>
  <r>
    <x v="245"/>
    <x v="8"/>
    <x v="1"/>
    <n v="36.4"/>
    <n v="72.8"/>
    <x v="10"/>
    <x v="12"/>
    <s v="M"/>
    <x v="1"/>
    <x v="1"/>
    <x v="0"/>
    <x v="9"/>
    <x v="3"/>
    <x v="1"/>
    <x v="1"/>
  </r>
  <r>
    <x v="246"/>
    <x v="1"/>
    <x v="9"/>
    <n v="47.3"/>
    <n v="236.5"/>
    <x v="10"/>
    <x v="16"/>
    <s v="M"/>
    <x v="2"/>
    <x v="0"/>
    <x v="0"/>
    <x v="10"/>
    <x v="2"/>
    <x v="1"/>
    <x v="1"/>
  </r>
  <r>
    <x v="247"/>
    <x v="6"/>
    <x v="2"/>
    <n v="82.5"/>
    <n v="247.5"/>
    <x v="10"/>
    <x v="12"/>
    <s v="M"/>
    <x v="0"/>
    <x v="0"/>
    <x v="0"/>
    <x v="11"/>
    <x v="3"/>
    <x v="1"/>
    <x v="1"/>
  </r>
  <r>
    <x v="248"/>
    <x v="0"/>
    <x v="0"/>
    <n v="14.3"/>
    <n v="14.3"/>
    <x v="10"/>
    <x v="12"/>
    <s v="F"/>
    <x v="0"/>
    <x v="0"/>
    <x v="0"/>
    <x v="21"/>
    <x v="3"/>
    <x v="1"/>
    <x v="2"/>
  </r>
  <r>
    <x v="249"/>
    <x v="2"/>
    <x v="13"/>
    <n v="57.6"/>
    <n v="345.6"/>
    <x v="10"/>
    <x v="17"/>
    <s v="F"/>
    <x v="0"/>
    <x v="0"/>
    <x v="0"/>
    <x v="21"/>
    <x v="12"/>
    <x v="1"/>
    <x v="2"/>
  </r>
  <r>
    <x v="250"/>
    <x v="2"/>
    <x v="2"/>
    <n v="142.4"/>
    <n v="427.20000000000005"/>
    <x v="10"/>
    <x v="14"/>
    <s v="M"/>
    <x v="4"/>
    <x v="1"/>
    <x v="0"/>
    <x v="21"/>
    <x v="1"/>
    <x v="1"/>
    <x v="1"/>
  </r>
  <r>
    <x v="251"/>
    <x v="12"/>
    <x v="0"/>
    <n v="30.2"/>
    <n v="30.2"/>
    <x v="10"/>
    <x v="11"/>
    <s v="M"/>
    <x v="1"/>
    <x v="2"/>
    <x v="0"/>
    <x v="2"/>
    <x v="5"/>
    <x v="1"/>
    <x v="1"/>
  </r>
  <r>
    <x v="252"/>
    <x v="18"/>
    <x v="2"/>
    <n v="65.3"/>
    <n v="195.89999999999998"/>
    <x v="10"/>
    <x v="12"/>
    <s v="O"/>
    <x v="1"/>
    <x v="0"/>
    <x v="0"/>
    <x v="33"/>
    <x v="3"/>
    <x v="1"/>
    <x v="3"/>
  </r>
  <r>
    <x v="253"/>
    <x v="0"/>
    <x v="1"/>
    <n v="33.4"/>
    <n v="66.8"/>
    <x v="10"/>
    <x v="12"/>
    <s v="M"/>
    <x v="1"/>
    <x v="1"/>
    <x v="0"/>
    <x v="22"/>
    <x v="3"/>
    <x v="1"/>
    <x v="1"/>
  </r>
  <r>
    <x v="254"/>
    <x v="7"/>
    <x v="1"/>
    <n v="45.1"/>
    <n v="90.2"/>
    <x v="10"/>
    <x v="18"/>
    <s v="M"/>
    <x v="0"/>
    <x v="0"/>
    <x v="0"/>
    <x v="34"/>
    <x v="9"/>
    <x v="1"/>
    <x v="1"/>
  </r>
  <r>
    <x v="255"/>
    <x v="2"/>
    <x v="3"/>
    <n v="61.7"/>
    <n v="431.90000000000003"/>
    <x v="10"/>
    <x v="14"/>
    <s v="F"/>
    <x v="4"/>
    <x v="0"/>
    <x v="0"/>
    <x v="3"/>
    <x v="1"/>
    <x v="1"/>
    <x v="2"/>
  </r>
  <r>
    <x v="256"/>
    <x v="9"/>
    <x v="2"/>
    <n v="45.1"/>
    <n v="135.30000000000001"/>
    <x v="11"/>
    <x v="14"/>
    <s v="M"/>
    <x v="4"/>
    <x v="1"/>
    <x v="0"/>
    <x v="3"/>
    <x v="3"/>
    <x v="2"/>
    <x v="1"/>
  </r>
  <r>
    <x v="257"/>
    <x v="15"/>
    <x v="9"/>
    <n v="22.7"/>
    <n v="113.5"/>
    <x v="11"/>
    <x v="10"/>
    <s v="M"/>
    <x v="0"/>
    <x v="2"/>
    <x v="0"/>
    <x v="35"/>
    <x v="0"/>
    <x v="2"/>
    <x v="1"/>
  </r>
  <r>
    <x v="258"/>
    <x v="8"/>
    <x v="0"/>
    <n v="17.600000000000001"/>
    <n v="17.600000000000001"/>
    <x v="11"/>
    <x v="14"/>
    <s v="F"/>
    <x v="0"/>
    <x v="2"/>
    <x v="0"/>
    <x v="23"/>
    <x v="3"/>
    <x v="2"/>
    <x v="2"/>
  </r>
  <r>
    <x v="259"/>
    <x v="14"/>
    <x v="1"/>
    <n v="11.3"/>
    <n v="22.6"/>
    <x v="11"/>
    <x v="11"/>
    <s v="F"/>
    <x v="3"/>
    <x v="2"/>
    <x v="0"/>
    <x v="23"/>
    <x v="2"/>
    <x v="2"/>
    <x v="2"/>
  </r>
  <r>
    <x v="260"/>
    <x v="6"/>
    <x v="2"/>
    <n v="53.4"/>
    <n v="160.19999999999999"/>
    <x v="11"/>
    <x v="11"/>
    <s v="M"/>
    <x v="3"/>
    <x v="2"/>
    <x v="0"/>
    <x v="36"/>
    <x v="2"/>
    <x v="2"/>
    <x v="1"/>
  </r>
  <r>
    <x v="261"/>
    <x v="6"/>
    <x v="5"/>
    <n v="51.1"/>
    <n v="562.1"/>
    <x v="11"/>
    <x v="16"/>
    <s v="F"/>
    <x v="2"/>
    <x v="2"/>
    <x v="0"/>
    <x v="8"/>
    <x v="1"/>
    <x v="2"/>
    <x v="2"/>
  </r>
  <r>
    <x v="262"/>
    <x v="8"/>
    <x v="1"/>
    <n v="27.5"/>
    <n v="55"/>
    <x v="11"/>
    <x v="14"/>
    <s v="M"/>
    <x v="4"/>
    <x v="1"/>
    <x v="0"/>
    <x v="8"/>
    <x v="3"/>
    <x v="2"/>
    <x v="1"/>
  </r>
  <r>
    <x v="263"/>
    <x v="9"/>
    <x v="0"/>
    <n v="33.5"/>
    <n v="33.5"/>
    <x v="11"/>
    <x v="16"/>
    <s v="F"/>
    <x v="0"/>
    <x v="4"/>
    <x v="0"/>
    <x v="8"/>
    <x v="1"/>
    <x v="2"/>
    <x v="2"/>
  </r>
  <r>
    <x v="264"/>
    <x v="4"/>
    <x v="0"/>
    <n v="59.5"/>
    <n v="59.5"/>
    <x v="11"/>
    <x v="12"/>
    <s v="M"/>
    <x v="0"/>
    <x v="2"/>
    <x v="0"/>
    <x v="18"/>
    <x v="7"/>
    <x v="2"/>
    <x v="1"/>
  </r>
  <r>
    <x v="265"/>
    <x v="17"/>
    <x v="12"/>
    <n v="23.5"/>
    <n v="94"/>
    <x v="11"/>
    <x v="14"/>
    <s v="F"/>
    <x v="3"/>
    <x v="3"/>
    <x v="0"/>
    <x v="19"/>
    <x v="3"/>
    <x v="2"/>
    <x v="2"/>
  </r>
  <r>
    <x v="266"/>
    <x v="6"/>
    <x v="0"/>
    <n v="49.7"/>
    <n v="49.7"/>
    <x v="11"/>
    <x v="14"/>
    <s v=""/>
    <x v="1"/>
    <x v="2"/>
    <x v="0"/>
    <x v="20"/>
    <x v="3"/>
    <x v="2"/>
    <x v="0"/>
  </r>
  <r>
    <x v="267"/>
    <x v="6"/>
    <x v="12"/>
    <n v="44.2"/>
    <n v="176.8"/>
    <x v="11"/>
    <x v="11"/>
    <s v="F"/>
    <x v="0"/>
    <x v="2"/>
    <x v="0"/>
    <x v="21"/>
    <x v="2"/>
    <x v="2"/>
    <x v="2"/>
  </r>
  <r>
    <x v="268"/>
    <x v="8"/>
    <x v="0"/>
    <n v="22.1"/>
    <n v="22.1"/>
    <x v="11"/>
    <x v="15"/>
    <s v="F"/>
    <x v="1"/>
    <x v="1"/>
    <x v="0"/>
    <x v="33"/>
    <x v="5"/>
    <x v="2"/>
    <x v="2"/>
  </r>
  <r>
    <x v="269"/>
    <x v="6"/>
    <x v="2"/>
    <n v="90.9"/>
    <n v="272.70000000000005"/>
    <x v="11"/>
    <x v="14"/>
    <s v="F"/>
    <x v="2"/>
    <x v="4"/>
    <x v="0"/>
    <x v="3"/>
    <x v="3"/>
    <x v="2"/>
    <x v="2"/>
  </r>
  <r>
    <x v="270"/>
    <x v="8"/>
    <x v="2"/>
    <n v="44.5"/>
    <n v="133.5"/>
    <x v="11"/>
    <x v="14"/>
    <s v="F"/>
    <x v="1"/>
    <x v="0"/>
    <x v="0"/>
    <x v="3"/>
    <x v="3"/>
    <x v="2"/>
    <x v="2"/>
  </r>
  <r>
    <x v="271"/>
    <x v="9"/>
    <x v="13"/>
    <n v="32.299999999999997"/>
    <n v="193.79999999999998"/>
    <x v="11"/>
    <x v="15"/>
    <s v="F"/>
    <x v="0"/>
    <x v="0"/>
    <x v="0"/>
    <x v="3"/>
    <x v="5"/>
    <x v="2"/>
    <x v="2"/>
  </r>
  <r>
    <x v="272"/>
    <x v="17"/>
    <x v="2"/>
    <n v="87.5"/>
    <n v="262.5"/>
    <x v="11"/>
    <x v="14"/>
    <s v="F"/>
    <x v="1"/>
    <x v="1"/>
    <x v="0"/>
    <x v="3"/>
    <x v="3"/>
    <x v="2"/>
    <x v="2"/>
  </r>
  <r>
    <x v="273"/>
    <x v="16"/>
    <x v="9"/>
    <n v="48.7"/>
    <n v="243.5"/>
    <x v="11"/>
    <x v="14"/>
    <s v="M"/>
    <x v="2"/>
    <x v="0"/>
    <x v="0"/>
    <x v="3"/>
    <x v="3"/>
    <x v="2"/>
    <x v="1"/>
  </r>
  <r>
    <x v="274"/>
    <x v="0"/>
    <x v="9"/>
    <n v="22.5"/>
    <n v="112.5"/>
    <x v="11"/>
    <x v="14"/>
    <s v="M"/>
    <x v="0"/>
    <x v="0"/>
    <x v="0"/>
    <x v="3"/>
    <x v="3"/>
    <x v="2"/>
    <x v="1"/>
  </r>
  <r>
    <x v="275"/>
    <x v="1"/>
    <x v="8"/>
    <n v="65.900000000000006"/>
    <n v="527.20000000000005"/>
    <x v="11"/>
    <x v="11"/>
    <s v="F"/>
    <x v="1"/>
    <x v="2"/>
    <x v="0"/>
    <x v="3"/>
    <x v="2"/>
    <x v="2"/>
    <x v="2"/>
  </r>
  <r>
    <x v="276"/>
    <x v="6"/>
    <x v="9"/>
    <n v="41.9"/>
    <n v="209.5"/>
    <x v="11"/>
    <x v="18"/>
    <s v=""/>
    <x v="0"/>
    <x v="0"/>
    <x v="0"/>
    <x v="3"/>
    <x v="6"/>
    <x v="2"/>
    <x v="0"/>
  </r>
  <r>
    <x v="277"/>
    <x v="1"/>
    <x v="9"/>
    <n v="67.5"/>
    <n v="337.5"/>
    <x v="11"/>
    <x v="14"/>
    <s v="F"/>
    <x v="0"/>
    <x v="2"/>
    <x v="0"/>
    <x v="3"/>
    <x v="3"/>
    <x v="2"/>
    <x v="2"/>
  </r>
  <r>
    <x v="278"/>
    <x v="9"/>
    <x v="0"/>
    <n v="60.4"/>
    <n v="60.4"/>
    <x v="12"/>
    <x v="11"/>
    <s v="F"/>
    <x v="1"/>
    <x v="1"/>
    <x v="0"/>
    <x v="3"/>
    <x v="1"/>
    <x v="2"/>
    <x v="2"/>
  </r>
  <r>
    <x v="279"/>
    <x v="1"/>
    <x v="3"/>
    <n v="30.4"/>
    <n v="212.79999999999998"/>
    <x v="12"/>
    <x v="15"/>
    <s v="F"/>
    <x v="4"/>
    <x v="0"/>
    <x v="0"/>
    <x v="3"/>
    <x v="2"/>
    <x v="2"/>
    <x v="2"/>
  </r>
  <r>
    <x v="280"/>
    <x v="14"/>
    <x v="1"/>
    <n v="24.5"/>
    <n v="49"/>
    <x v="12"/>
    <x v="16"/>
    <s v="M"/>
    <x v="3"/>
    <x v="2"/>
    <x v="0"/>
    <x v="3"/>
    <x v="3"/>
    <x v="2"/>
    <x v="1"/>
  </r>
  <r>
    <x v="281"/>
    <x v="2"/>
    <x v="2"/>
    <n v="105.9"/>
    <n v="317.70000000000005"/>
    <x v="12"/>
    <x v="13"/>
    <s v="M"/>
    <x v="0"/>
    <x v="0"/>
    <x v="0"/>
    <x v="37"/>
    <x v="0"/>
    <x v="2"/>
    <x v="1"/>
  </r>
  <r>
    <x v="282"/>
    <x v="10"/>
    <x v="25"/>
    <n v="25.9"/>
    <n v="621.59999999999991"/>
    <x v="12"/>
    <x v="16"/>
    <s v="F"/>
    <x v="4"/>
    <x v="0"/>
    <x v="0"/>
    <x v="23"/>
    <x v="3"/>
    <x v="2"/>
    <x v="2"/>
  </r>
  <r>
    <x v="283"/>
    <x v="6"/>
    <x v="2"/>
    <n v="66.8"/>
    <n v="200.39999999999998"/>
    <x v="12"/>
    <x v="14"/>
    <s v="M"/>
    <x v="0"/>
    <x v="0"/>
    <x v="0"/>
    <x v="23"/>
    <x v="7"/>
    <x v="2"/>
    <x v="1"/>
  </r>
  <r>
    <x v="284"/>
    <x v="6"/>
    <x v="2"/>
    <n v="112.3"/>
    <n v="336.9"/>
    <x v="12"/>
    <x v="16"/>
    <s v="M"/>
    <x v="2"/>
    <x v="4"/>
    <x v="0"/>
    <x v="6"/>
    <x v="3"/>
    <x v="2"/>
    <x v="1"/>
  </r>
  <r>
    <x v="285"/>
    <x v="1"/>
    <x v="13"/>
    <n v="94.1"/>
    <n v="564.59999999999991"/>
    <x v="12"/>
    <x v="16"/>
    <s v="F"/>
    <x v="0"/>
    <x v="4"/>
    <x v="0"/>
    <x v="6"/>
    <x v="3"/>
    <x v="2"/>
    <x v="2"/>
  </r>
  <r>
    <x v="286"/>
    <x v="5"/>
    <x v="0"/>
    <n v="40.700000000000003"/>
    <n v="40.700000000000003"/>
    <x v="12"/>
    <x v="15"/>
    <s v="F"/>
    <x v="2"/>
    <x v="0"/>
    <x v="0"/>
    <x v="6"/>
    <x v="2"/>
    <x v="2"/>
    <x v="2"/>
  </r>
  <r>
    <x v="287"/>
    <x v="3"/>
    <x v="1"/>
    <n v="71.400000000000006"/>
    <n v="142.80000000000001"/>
    <x v="12"/>
    <x v="16"/>
    <s v="M"/>
    <x v="0"/>
    <x v="0"/>
    <x v="0"/>
    <x v="7"/>
    <x v="3"/>
    <x v="2"/>
    <x v="1"/>
  </r>
  <r>
    <x v="288"/>
    <x v="0"/>
    <x v="16"/>
    <n v="15.6"/>
    <n v="280.8"/>
    <x v="12"/>
    <x v="16"/>
    <s v="M"/>
    <x v="1"/>
    <x v="3"/>
    <x v="0"/>
    <x v="8"/>
    <x v="3"/>
    <x v="2"/>
    <x v="1"/>
  </r>
  <r>
    <x v="289"/>
    <x v="10"/>
    <x v="12"/>
    <n v="37.799999999999997"/>
    <n v="151.19999999999999"/>
    <x v="12"/>
    <x v="16"/>
    <s v="M"/>
    <x v="2"/>
    <x v="2"/>
    <x v="0"/>
    <x v="8"/>
    <x v="3"/>
    <x v="2"/>
    <x v="1"/>
  </r>
  <r>
    <x v="290"/>
    <x v="4"/>
    <x v="2"/>
    <n v="28.1"/>
    <n v="84.300000000000011"/>
    <x v="12"/>
    <x v="10"/>
    <s v="M"/>
    <x v="0"/>
    <x v="0"/>
    <x v="0"/>
    <x v="8"/>
    <x v="5"/>
    <x v="2"/>
    <x v="1"/>
  </r>
  <r>
    <x v="291"/>
    <x v="7"/>
    <x v="13"/>
    <n v="51.4"/>
    <n v="308.39999999999998"/>
    <x v="12"/>
    <x v="10"/>
    <s v="M"/>
    <x v="0"/>
    <x v="0"/>
    <x v="0"/>
    <x v="8"/>
    <x v="5"/>
    <x v="2"/>
    <x v="1"/>
  </r>
  <r>
    <x v="292"/>
    <x v="7"/>
    <x v="1"/>
    <n v="97.7"/>
    <n v="195.4"/>
    <x v="12"/>
    <x v="11"/>
    <s v="F"/>
    <x v="4"/>
    <x v="2"/>
    <x v="0"/>
    <x v="17"/>
    <x v="1"/>
    <x v="2"/>
    <x v="2"/>
  </r>
  <r>
    <x v="293"/>
    <x v="1"/>
    <x v="12"/>
    <n v="63.8"/>
    <n v="255.2"/>
    <x v="12"/>
    <x v="16"/>
    <s v="M"/>
    <x v="2"/>
    <x v="0"/>
    <x v="0"/>
    <x v="38"/>
    <x v="3"/>
    <x v="2"/>
    <x v="1"/>
  </r>
  <r>
    <x v="294"/>
    <x v="13"/>
    <x v="1"/>
    <n v="20.100000000000001"/>
    <n v="40.200000000000003"/>
    <x v="12"/>
    <x v="11"/>
    <s v="M"/>
    <x v="0"/>
    <x v="2"/>
    <x v="0"/>
    <x v="20"/>
    <x v="1"/>
    <x v="2"/>
    <x v="1"/>
  </r>
  <r>
    <x v="295"/>
    <x v="11"/>
    <x v="2"/>
    <n v="50.4"/>
    <n v="151.19999999999999"/>
    <x v="12"/>
    <x v="15"/>
    <s v="F"/>
    <x v="3"/>
    <x v="0"/>
    <x v="0"/>
    <x v="13"/>
    <x v="2"/>
    <x v="2"/>
    <x v="2"/>
  </r>
  <r>
    <x v="296"/>
    <x v="0"/>
    <x v="0"/>
    <n v="16.2"/>
    <n v="16.2"/>
    <x v="12"/>
    <x v="19"/>
    <s v="F"/>
    <x v="1"/>
    <x v="0"/>
    <x v="0"/>
    <x v="1"/>
    <x v="10"/>
    <x v="2"/>
    <x v="2"/>
  </r>
  <r>
    <x v="297"/>
    <x v="6"/>
    <x v="3"/>
    <n v="80.900000000000006"/>
    <n v="566.30000000000007"/>
    <x v="12"/>
    <x v="11"/>
    <s v="M"/>
    <x v="4"/>
    <x v="4"/>
    <x v="0"/>
    <x v="2"/>
    <x v="1"/>
    <x v="2"/>
    <x v="1"/>
  </r>
  <r>
    <x v="298"/>
    <x v="9"/>
    <x v="13"/>
    <n v="95.2"/>
    <n v="571.20000000000005"/>
    <x v="12"/>
    <x v="11"/>
    <s v="F"/>
    <x v="0"/>
    <x v="2"/>
    <x v="0"/>
    <x v="2"/>
    <x v="1"/>
    <x v="2"/>
    <x v="2"/>
  </r>
  <r>
    <x v="299"/>
    <x v="5"/>
    <x v="8"/>
    <n v="70.400000000000006"/>
    <n v="563.20000000000005"/>
    <x v="12"/>
    <x v="16"/>
    <s v="M"/>
    <x v="1"/>
    <x v="1"/>
    <x v="0"/>
    <x v="3"/>
    <x v="3"/>
    <x v="2"/>
    <x v="1"/>
  </r>
  <r>
    <x v="300"/>
    <x v="0"/>
    <x v="9"/>
    <n v="10.7"/>
    <n v="53.5"/>
    <x v="12"/>
    <x v="10"/>
    <s v="F"/>
    <x v="2"/>
    <x v="0"/>
    <x v="0"/>
    <x v="3"/>
    <x v="5"/>
    <x v="2"/>
    <x v="2"/>
  </r>
  <r>
    <x v="301"/>
    <x v="8"/>
    <x v="9"/>
    <n v="19.600000000000001"/>
    <n v="98"/>
    <x v="12"/>
    <x v="11"/>
    <s v="F"/>
    <x v="0"/>
    <x v="3"/>
    <x v="0"/>
    <x v="3"/>
    <x v="1"/>
    <x v="2"/>
    <x v="2"/>
  </r>
  <r>
    <x v="302"/>
    <x v="8"/>
    <x v="5"/>
    <n v="34.700000000000003"/>
    <n v="381.70000000000005"/>
    <x v="12"/>
    <x v="11"/>
    <s v="F"/>
    <x v="0"/>
    <x v="2"/>
    <x v="0"/>
    <x v="3"/>
    <x v="1"/>
    <x v="2"/>
    <x v="2"/>
  </r>
  <r>
    <x v="303"/>
    <x v="10"/>
    <x v="11"/>
    <n v="34.1"/>
    <n v="306.90000000000003"/>
    <x v="12"/>
    <x v="16"/>
    <s v="F"/>
    <x v="4"/>
    <x v="1"/>
    <x v="0"/>
    <x v="3"/>
    <x v="3"/>
    <x v="2"/>
    <x v="2"/>
  </r>
  <r>
    <x v="304"/>
    <x v="0"/>
    <x v="26"/>
    <n v="29.3"/>
    <n v="1435.7"/>
    <x v="12"/>
    <x v="14"/>
    <s v="M"/>
    <x v="0"/>
    <x v="1"/>
    <x v="0"/>
    <x v="3"/>
    <x v="7"/>
    <x v="2"/>
    <x v="1"/>
  </r>
  <r>
    <x v="305"/>
    <x v="1"/>
    <x v="0"/>
    <n v="55.2"/>
    <n v="55.2"/>
    <x v="12"/>
    <x v="16"/>
    <s v="F"/>
    <x v="0"/>
    <x v="1"/>
    <x v="0"/>
    <x v="3"/>
    <x v="3"/>
    <x v="2"/>
    <x v="2"/>
  </r>
  <r>
    <x v="306"/>
    <x v="18"/>
    <x v="2"/>
    <n v="26"/>
    <n v="78"/>
    <x v="12"/>
    <x v="15"/>
    <s v="F"/>
    <x v="0"/>
    <x v="2"/>
    <x v="0"/>
    <x v="3"/>
    <x v="2"/>
    <x v="2"/>
    <x v="2"/>
  </r>
  <r>
    <x v="307"/>
    <x v="14"/>
    <x v="1"/>
    <n v="14.2"/>
    <n v="28.4"/>
    <x v="12"/>
    <x v="13"/>
    <s v="F"/>
    <x v="3"/>
    <x v="0"/>
    <x v="0"/>
    <x v="39"/>
    <x v="0"/>
    <x v="2"/>
    <x v="2"/>
  </r>
  <r>
    <x v="308"/>
    <x v="8"/>
    <x v="11"/>
    <n v="22.7"/>
    <n v="204.29999999999998"/>
    <x v="13"/>
    <x v="11"/>
    <s v="M"/>
    <x v="1"/>
    <x v="0"/>
    <x v="0"/>
    <x v="6"/>
    <x v="3"/>
    <x v="2"/>
    <x v="1"/>
  </r>
  <r>
    <x v="309"/>
    <x v="0"/>
    <x v="20"/>
    <n v="19.8"/>
    <n v="297"/>
    <x v="13"/>
    <x v="16"/>
    <s v="F"/>
    <x v="0"/>
    <x v="2"/>
    <x v="0"/>
    <x v="6"/>
    <x v="7"/>
    <x v="2"/>
    <x v="2"/>
  </r>
  <r>
    <x v="310"/>
    <x v="0"/>
    <x v="2"/>
    <n v="31.7"/>
    <n v="95.1"/>
    <x v="13"/>
    <x v="11"/>
    <s v="M"/>
    <x v="2"/>
    <x v="0"/>
    <x v="0"/>
    <x v="6"/>
    <x v="3"/>
    <x v="2"/>
    <x v="1"/>
  </r>
  <r>
    <x v="311"/>
    <x v="8"/>
    <x v="12"/>
    <n v="30.4"/>
    <n v="121.6"/>
    <x v="13"/>
    <x v="13"/>
    <s v="M"/>
    <x v="0"/>
    <x v="0"/>
    <x v="0"/>
    <x v="6"/>
    <x v="5"/>
    <x v="2"/>
    <x v="1"/>
  </r>
  <r>
    <x v="312"/>
    <x v="0"/>
    <x v="12"/>
    <n v="25.6"/>
    <n v="102.4"/>
    <x v="13"/>
    <x v="11"/>
    <s v="M"/>
    <x v="3"/>
    <x v="0"/>
    <x v="0"/>
    <x v="8"/>
    <x v="3"/>
    <x v="2"/>
    <x v="1"/>
  </r>
  <r>
    <x v="313"/>
    <x v="5"/>
    <x v="1"/>
    <n v="34.9"/>
    <n v="69.8"/>
    <x v="13"/>
    <x v="11"/>
    <s v="F"/>
    <x v="2"/>
    <x v="0"/>
    <x v="0"/>
    <x v="9"/>
    <x v="3"/>
    <x v="2"/>
    <x v="2"/>
  </r>
  <r>
    <x v="314"/>
    <x v="7"/>
    <x v="13"/>
    <n v="42.7"/>
    <n v="256.20000000000005"/>
    <x v="13"/>
    <x v="10"/>
    <s v="M"/>
    <x v="2"/>
    <x v="1"/>
    <x v="0"/>
    <x v="11"/>
    <x v="2"/>
    <x v="2"/>
    <x v="1"/>
  </r>
  <r>
    <x v="315"/>
    <x v="8"/>
    <x v="0"/>
    <n v="23.9"/>
    <n v="23.9"/>
    <x v="13"/>
    <x v="15"/>
    <s v="F"/>
    <x v="3"/>
    <x v="0"/>
    <x v="0"/>
    <x v="11"/>
    <x v="1"/>
    <x v="2"/>
    <x v="2"/>
  </r>
  <r>
    <x v="316"/>
    <x v="6"/>
    <x v="0"/>
    <n v="124.3"/>
    <n v="124.3"/>
    <x v="13"/>
    <x v="11"/>
    <s v=""/>
    <x v="2"/>
    <x v="1"/>
    <x v="0"/>
    <x v="21"/>
    <x v="3"/>
    <x v="2"/>
    <x v="0"/>
  </r>
  <r>
    <x v="317"/>
    <x v="8"/>
    <x v="13"/>
    <n v="35.9"/>
    <n v="215.39999999999998"/>
    <x v="13"/>
    <x v="11"/>
    <s v="F"/>
    <x v="0"/>
    <x v="1"/>
    <x v="0"/>
    <x v="1"/>
    <x v="3"/>
    <x v="2"/>
    <x v="2"/>
  </r>
  <r>
    <x v="318"/>
    <x v="2"/>
    <x v="1"/>
    <n v="69.099999999999994"/>
    <n v="138.19999999999999"/>
    <x v="13"/>
    <x v="10"/>
    <s v="F"/>
    <x v="0"/>
    <x v="2"/>
    <x v="0"/>
    <x v="22"/>
    <x v="2"/>
    <x v="2"/>
    <x v="2"/>
  </r>
  <r>
    <x v="319"/>
    <x v="7"/>
    <x v="0"/>
    <n v="58.4"/>
    <n v="58.4"/>
    <x v="13"/>
    <x v="13"/>
    <s v="M"/>
    <x v="0"/>
    <x v="0"/>
    <x v="0"/>
    <x v="22"/>
    <x v="5"/>
    <x v="2"/>
    <x v="1"/>
  </r>
  <r>
    <x v="320"/>
    <x v="5"/>
    <x v="0"/>
    <n v="65.2"/>
    <n v="65.2"/>
    <x v="13"/>
    <x v="15"/>
    <s v="O"/>
    <x v="4"/>
    <x v="4"/>
    <x v="0"/>
    <x v="3"/>
    <x v="1"/>
    <x v="2"/>
    <x v="3"/>
  </r>
  <r>
    <x v="321"/>
    <x v="8"/>
    <x v="14"/>
    <n v="32.700000000000003"/>
    <n v="555.90000000000009"/>
    <x v="13"/>
    <x v="20"/>
    <s v=""/>
    <x v="4"/>
    <x v="0"/>
    <x v="0"/>
    <x v="3"/>
    <x v="6"/>
    <x v="2"/>
    <x v="0"/>
  </r>
  <r>
    <x v="322"/>
    <x v="10"/>
    <x v="3"/>
    <n v="24.4"/>
    <n v="170.79999999999998"/>
    <x v="13"/>
    <x v="11"/>
    <s v="F"/>
    <x v="0"/>
    <x v="0"/>
    <x v="0"/>
    <x v="3"/>
    <x v="3"/>
    <x v="2"/>
    <x v="2"/>
  </r>
  <r>
    <x v="323"/>
    <x v="14"/>
    <x v="1"/>
    <n v="50.4"/>
    <n v="100.8"/>
    <x v="13"/>
    <x v="21"/>
    <s v="M"/>
    <x v="0"/>
    <x v="1"/>
    <x v="0"/>
    <x v="3"/>
    <x v="4"/>
    <x v="2"/>
    <x v="1"/>
  </r>
  <r>
    <x v="324"/>
    <x v="1"/>
    <x v="1"/>
    <n v="100"/>
    <n v="200"/>
    <x v="13"/>
    <x v="11"/>
    <s v="F"/>
    <x v="0"/>
    <x v="0"/>
    <x v="0"/>
    <x v="3"/>
    <x v="3"/>
    <x v="2"/>
    <x v="2"/>
  </r>
  <r>
    <x v="325"/>
    <x v="10"/>
    <x v="2"/>
    <n v="43"/>
    <n v="129"/>
    <x v="14"/>
    <x v="11"/>
    <s v="F"/>
    <x v="2"/>
    <x v="1"/>
    <x v="0"/>
    <x v="3"/>
    <x v="7"/>
    <x v="2"/>
    <x v="2"/>
  </r>
  <r>
    <x v="326"/>
    <x v="1"/>
    <x v="9"/>
    <n v="64.400000000000006"/>
    <n v="322"/>
    <x v="14"/>
    <x v="10"/>
    <s v="M"/>
    <x v="2"/>
    <x v="1"/>
    <x v="0"/>
    <x v="3"/>
    <x v="1"/>
    <x v="2"/>
    <x v="1"/>
  </r>
  <r>
    <x v="327"/>
    <x v="18"/>
    <x v="1"/>
    <n v="57.4"/>
    <n v="114.8"/>
    <x v="14"/>
    <x v="15"/>
    <s v="M"/>
    <x v="2"/>
    <x v="1"/>
    <x v="0"/>
    <x v="3"/>
    <x v="3"/>
    <x v="2"/>
    <x v="1"/>
  </r>
  <r>
    <x v="328"/>
    <x v="2"/>
    <x v="2"/>
    <n v="55.1"/>
    <n v="165.3"/>
    <x v="14"/>
    <x v="13"/>
    <s v="F"/>
    <x v="1"/>
    <x v="0"/>
    <x v="0"/>
    <x v="3"/>
    <x v="2"/>
    <x v="2"/>
    <x v="2"/>
  </r>
  <r>
    <x v="329"/>
    <x v="7"/>
    <x v="12"/>
    <n v="45.4"/>
    <n v="181.6"/>
    <x v="14"/>
    <x v="15"/>
    <s v="F"/>
    <x v="1"/>
    <x v="0"/>
    <x v="0"/>
    <x v="3"/>
    <x v="3"/>
    <x v="2"/>
    <x v="2"/>
  </r>
  <r>
    <x v="330"/>
    <x v="3"/>
    <x v="2"/>
    <n v="93.3"/>
    <n v="279.89999999999998"/>
    <x v="14"/>
    <x v="15"/>
    <s v="F"/>
    <x v="0"/>
    <x v="0"/>
    <x v="0"/>
    <x v="40"/>
    <x v="3"/>
    <x v="2"/>
    <x v="2"/>
  </r>
  <r>
    <x v="331"/>
    <x v="2"/>
    <x v="10"/>
    <n v="158.19999999999999"/>
    <n v="3005.7999999999997"/>
    <x v="14"/>
    <x v="15"/>
    <s v="F"/>
    <x v="1"/>
    <x v="2"/>
    <x v="0"/>
    <x v="16"/>
    <x v="3"/>
    <x v="2"/>
    <x v="2"/>
  </r>
  <r>
    <x v="332"/>
    <x v="2"/>
    <x v="1"/>
    <n v="74.900000000000006"/>
    <n v="149.80000000000001"/>
    <x v="14"/>
    <x v="10"/>
    <s v="M"/>
    <x v="3"/>
    <x v="0"/>
    <x v="0"/>
    <x v="6"/>
    <x v="1"/>
    <x v="2"/>
    <x v="1"/>
  </r>
  <r>
    <x v="333"/>
    <x v="8"/>
    <x v="3"/>
    <n v="26"/>
    <n v="182"/>
    <x v="14"/>
    <x v="13"/>
    <s v="F"/>
    <x v="1"/>
    <x v="0"/>
    <x v="0"/>
    <x v="8"/>
    <x v="2"/>
    <x v="2"/>
    <x v="2"/>
  </r>
  <r>
    <x v="334"/>
    <x v="9"/>
    <x v="13"/>
    <n v="37.5"/>
    <n v="225"/>
    <x v="14"/>
    <x v="15"/>
    <s v="F"/>
    <x v="0"/>
    <x v="1"/>
    <x v="0"/>
    <x v="8"/>
    <x v="3"/>
    <x v="2"/>
    <x v="2"/>
  </r>
  <r>
    <x v="335"/>
    <x v="6"/>
    <x v="1"/>
    <n v="75.8"/>
    <n v="151.6"/>
    <x v="14"/>
    <x v="20"/>
    <s v="M"/>
    <x v="0"/>
    <x v="0"/>
    <x v="0"/>
    <x v="8"/>
    <x v="4"/>
    <x v="2"/>
    <x v="1"/>
  </r>
  <r>
    <x v="336"/>
    <x v="7"/>
    <x v="0"/>
    <n v="48.5"/>
    <n v="48.5"/>
    <x v="14"/>
    <x v="22"/>
    <s v=""/>
    <x v="4"/>
    <x v="2"/>
    <x v="0"/>
    <x v="8"/>
    <x v="13"/>
    <x v="2"/>
    <x v="0"/>
  </r>
  <r>
    <x v="337"/>
    <x v="6"/>
    <x v="2"/>
    <n v="98.9"/>
    <n v="296.70000000000005"/>
    <x v="14"/>
    <x v="10"/>
    <s v="F"/>
    <x v="4"/>
    <x v="1"/>
    <x v="0"/>
    <x v="8"/>
    <x v="1"/>
    <x v="2"/>
    <x v="2"/>
  </r>
  <r>
    <x v="338"/>
    <x v="1"/>
    <x v="4"/>
    <n v="50.9"/>
    <n v="610.79999999999995"/>
    <x v="14"/>
    <x v="11"/>
    <s v="M"/>
    <x v="4"/>
    <x v="0"/>
    <x v="0"/>
    <x v="8"/>
    <x v="7"/>
    <x v="2"/>
    <x v="1"/>
  </r>
  <r>
    <x v="339"/>
    <x v="12"/>
    <x v="13"/>
    <n v="84.7"/>
    <n v="508.20000000000005"/>
    <x v="14"/>
    <x v="11"/>
    <s v="F"/>
    <x v="2"/>
    <x v="0"/>
    <x v="0"/>
    <x v="8"/>
    <x v="7"/>
    <x v="2"/>
    <x v="2"/>
  </r>
  <r>
    <x v="340"/>
    <x v="8"/>
    <x v="0"/>
    <n v="20.7"/>
    <n v="20.7"/>
    <x v="14"/>
    <x v="10"/>
    <s v="F"/>
    <x v="3"/>
    <x v="2"/>
    <x v="0"/>
    <x v="8"/>
    <x v="1"/>
    <x v="2"/>
    <x v="2"/>
  </r>
  <r>
    <x v="341"/>
    <x v="12"/>
    <x v="11"/>
    <n v="57.8"/>
    <n v="520.19999999999993"/>
    <x v="14"/>
    <x v="19"/>
    <s v="M"/>
    <x v="0"/>
    <x v="4"/>
    <x v="0"/>
    <x v="17"/>
    <x v="11"/>
    <x v="2"/>
    <x v="1"/>
  </r>
  <r>
    <x v="342"/>
    <x v="2"/>
    <x v="1"/>
    <n v="106.9"/>
    <n v="213.8"/>
    <x v="14"/>
    <x v="10"/>
    <s v="F"/>
    <x v="0"/>
    <x v="2"/>
    <x v="0"/>
    <x v="41"/>
    <x v="1"/>
    <x v="2"/>
    <x v="2"/>
  </r>
  <r>
    <x v="343"/>
    <x v="3"/>
    <x v="9"/>
    <n v="45.2"/>
    <n v="226"/>
    <x v="14"/>
    <x v="18"/>
    <s v="F"/>
    <x v="1"/>
    <x v="0"/>
    <x v="0"/>
    <x v="21"/>
    <x v="5"/>
    <x v="2"/>
    <x v="2"/>
  </r>
  <r>
    <x v="344"/>
    <x v="8"/>
    <x v="15"/>
    <n v="34.6"/>
    <n v="449.8"/>
    <x v="14"/>
    <x v="11"/>
    <s v="F"/>
    <x v="1"/>
    <x v="1"/>
    <x v="0"/>
    <x v="21"/>
    <x v="7"/>
    <x v="2"/>
    <x v="2"/>
  </r>
  <r>
    <x v="345"/>
    <x v="15"/>
    <x v="0"/>
    <n v="43.8"/>
    <n v="43.8"/>
    <x v="14"/>
    <x v="10"/>
    <s v=""/>
    <x v="0"/>
    <x v="2"/>
    <x v="0"/>
    <x v="21"/>
    <x v="1"/>
    <x v="2"/>
    <x v="0"/>
  </r>
  <r>
    <x v="346"/>
    <x v="15"/>
    <x v="0"/>
    <n v="20.399999999999999"/>
    <n v="20.399999999999999"/>
    <x v="14"/>
    <x v="10"/>
    <s v="M"/>
    <x v="4"/>
    <x v="1"/>
    <x v="0"/>
    <x v="21"/>
    <x v="1"/>
    <x v="2"/>
    <x v="1"/>
  </r>
  <r>
    <x v="347"/>
    <x v="1"/>
    <x v="0"/>
    <n v="36.700000000000003"/>
    <n v="36.700000000000003"/>
    <x v="14"/>
    <x v="15"/>
    <s v="M"/>
    <x v="0"/>
    <x v="1"/>
    <x v="0"/>
    <x v="1"/>
    <x v="3"/>
    <x v="2"/>
    <x v="1"/>
  </r>
  <r>
    <x v="348"/>
    <x v="8"/>
    <x v="2"/>
    <n v="27.2"/>
    <n v="81.599999999999994"/>
    <x v="14"/>
    <x v="18"/>
    <s v="M"/>
    <x v="0"/>
    <x v="2"/>
    <x v="0"/>
    <x v="1"/>
    <x v="5"/>
    <x v="2"/>
    <x v="1"/>
  </r>
  <r>
    <x v="349"/>
    <x v="6"/>
    <x v="0"/>
    <n v="58.2"/>
    <n v="58.2"/>
    <x v="14"/>
    <x v="15"/>
    <s v="F"/>
    <x v="0"/>
    <x v="2"/>
    <x v="0"/>
    <x v="42"/>
    <x v="3"/>
    <x v="2"/>
    <x v="2"/>
  </r>
  <r>
    <x v="350"/>
    <x v="8"/>
    <x v="2"/>
    <n v="25.6"/>
    <n v="76.800000000000011"/>
    <x v="14"/>
    <x v="15"/>
    <s v="M"/>
    <x v="4"/>
    <x v="4"/>
    <x v="0"/>
    <x v="2"/>
    <x v="3"/>
    <x v="2"/>
    <x v="1"/>
  </r>
  <r>
    <x v="351"/>
    <x v="10"/>
    <x v="0"/>
    <n v="21.2"/>
    <n v="21.2"/>
    <x v="14"/>
    <x v="11"/>
    <s v="F"/>
    <x v="1"/>
    <x v="2"/>
    <x v="0"/>
    <x v="3"/>
    <x v="7"/>
    <x v="2"/>
    <x v="2"/>
  </r>
  <r>
    <x v="352"/>
    <x v="6"/>
    <x v="1"/>
    <n v="48.2"/>
    <n v="96.4"/>
    <x v="14"/>
    <x v="23"/>
    <s v="F"/>
    <x v="0"/>
    <x v="2"/>
    <x v="0"/>
    <x v="3"/>
    <x v="9"/>
    <x v="2"/>
    <x v="2"/>
  </r>
  <r>
    <x v="353"/>
    <x v="1"/>
    <x v="12"/>
    <n v="83.4"/>
    <n v="333.6"/>
    <x v="15"/>
    <x v="10"/>
    <s v="M"/>
    <x v="0"/>
    <x v="0"/>
    <x v="0"/>
    <x v="3"/>
    <x v="3"/>
    <x v="2"/>
    <x v="1"/>
  </r>
  <r>
    <x v="354"/>
    <x v="9"/>
    <x v="2"/>
    <n v="45.3"/>
    <n v="135.89999999999998"/>
    <x v="15"/>
    <x v="24"/>
    <s v="M"/>
    <x v="2"/>
    <x v="1"/>
    <x v="0"/>
    <x v="3"/>
    <x v="4"/>
    <x v="2"/>
    <x v="1"/>
  </r>
  <r>
    <x v="355"/>
    <x v="17"/>
    <x v="0"/>
    <n v="42"/>
    <n v="42"/>
    <x v="15"/>
    <x v="10"/>
    <s v=""/>
    <x v="0"/>
    <x v="0"/>
    <x v="0"/>
    <x v="3"/>
    <x v="3"/>
    <x v="2"/>
    <x v="0"/>
  </r>
  <r>
    <x v="356"/>
    <x v="0"/>
    <x v="11"/>
    <n v="21.8"/>
    <n v="196.20000000000002"/>
    <x v="15"/>
    <x v="13"/>
    <s v="F"/>
    <x v="1"/>
    <x v="0"/>
    <x v="0"/>
    <x v="3"/>
    <x v="1"/>
    <x v="2"/>
    <x v="2"/>
  </r>
  <r>
    <x v="357"/>
    <x v="8"/>
    <x v="16"/>
    <n v="21.4"/>
    <n v="385.2"/>
    <x v="15"/>
    <x v="18"/>
    <s v="F"/>
    <x v="1"/>
    <x v="2"/>
    <x v="0"/>
    <x v="3"/>
    <x v="2"/>
    <x v="2"/>
    <x v="2"/>
  </r>
  <r>
    <x v="358"/>
    <x v="10"/>
    <x v="2"/>
    <n v="45"/>
    <n v="135"/>
    <x v="15"/>
    <x v="15"/>
    <s v="F"/>
    <x v="1"/>
    <x v="2"/>
    <x v="0"/>
    <x v="3"/>
    <x v="7"/>
    <x v="2"/>
    <x v="2"/>
  </r>
  <r>
    <x v="359"/>
    <x v="14"/>
    <x v="0"/>
    <n v="39.6"/>
    <n v="39.6"/>
    <x v="15"/>
    <x v="10"/>
    <s v="M"/>
    <x v="0"/>
    <x v="2"/>
    <x v="0"/>
    <x v="3"/>
    <x v="3"/>
    <x v="2"/>
    <x v="1"/>
  </r>
  <r>
    <x v="360"/>
    <x v="12"/>
    <x v="2"/>
    <n v="79.8"/>
    <n v="239.39999999999998"/>
    <x v="15"/>
    <x v="24"/>
    <s v="F"/>
    <x v="1"/>
    <x v="4"/>
    <x v="0"/>
    <x v="3"/>
    <x v="4"/>
    <x v="2"/>
    <x v="2"/>
  </r>
  <r>
    <x v="361"/>
    <x v="1"/>
    <x v="12"/>
    <n v="63.6"/>
    <n v="254.4"/>
    <x v="15"/>
    <x v="10"/>
    <s v="O"/>
    <x v="0"/>
    <x v="2"/>
    <x v="0"/>
    <x v="24"/>
    <x v="3"/>
    <x v="2"/>
    <x v="3"/>
  </r>
  <r>
    <x v="362"/>
    <x v="7"/>
    <x v="7"/>
    <n v="92.7"/>
    <n v="927"/>
    <x v="15"/>
    <x v="21"/>
    <s v="M"/>
    <x v="1"/>
    <x v="2"/>
    <x v="0"/>
    <x v="6"/>
    <x v="5"/>
    <x v="2"/>
    <x v="1"/>
  </r>
  <r>
    <x v="363"/>
    <x v="1"/>
    <x v="12"/>
    <n v="48.4"/>
    <n v="193.6"/>
    <x v="15"/>
    <x v="13"/>
    <s v="F"/>
    <x v="1"/>
    <x v="2"/>
    <x v="0"/>
    <x v="6"/>
    <x v="1"/>
    <x v="2"/>
    <x v="2"/>
  </r>
  <r>
    <x v="364"/>
    <x v="9"/>
    <x v="8"/>
    <n v="36"/>
    <n v="288"/>
    <x v="15"/>
    <x v="18"/>
    <s v="M"/>
    <x v="2"/>
    <x v="2"/>
    <x v="0"/>
    <x v="8"/>
    <x v="2"/>
    <x v="2"/>
    <x v="1"/>
  </r>
  <r>
    <x v="365"/>
    <x v="8"/>
    <x v="4"/>
    <n v="27"/>
    <n v="324"/>
    <x v="15"/>
    <x v="13"/>
    <s v="F"/>
    <x v="2"/>
    <x v="1"/>
    <x v="0"/>
    <x v="8"/>
    <x v="1"/>
    <x v="2"/>
    <x v="2"/>
  </r>
  <r>
    <x v="366"/>
    <x v="2"/>
    <x v="8"/>
    <n v="53.9"/>
    <n v="431.2"/>
    <x v="15"/>
    <x v="10"/>
    <s v=""/>
    <x v="0"/>
    <x v="0"/>
    <x v="0"/>
    <x v="8"/>
    <x v="3"/>
    <x v="2"/>
    <x v="0"/>
  </r>
  <r>
    <x v="367"/>
    <x v="3"/>
    <x v="11"/>
    <n v="48.4"/>
    <n v="435.59999999999997"/>
    <x v="15"/>
    <x v="10"/>
    <s v="F"/>
    <x v="1"/>
    <x v="0"/>
    <x v="0"/>
    <x v="9"/>
    <x v="3"/>
    <x v="2"/>
    <x v="2"/>
  </r>
  <r>
    <x v="368"/>
    <x v="17"/>
    <x v="1"/>
    <n v="49.9"/>
    <n v="99.8"/>
    <x v="15"/>
    <x v="20"/>
    <s v="M"/>
    <x v="4"/>
    <x v="4"/>
    <x v="0"/>
    <x v="10"/>
    <x v="0"/>
    <x v="2"/>
    <x v="1"/>
  </r>
  <r>
    <x v="369"/>
    <x v="1"/>
    <x v="2"/>
    <n v="51.7"/>
    <n v="155.10000000000002"/>
    <x v="15"/>
    <x v="10"/>
    <s v="F"/>
    <x v="0"/>
    <x v="2"/>
    <x v="0"/>
    <x v="11"/>
    <x v="3"/>
    <x v="2"/>
    <x v="2"/>
  </r>
  <r>
    <x v="370"/>
    <x v="8"/>
    <x v="2"/>
    <n v="41.8"/>
    <n v="125.39999999999999"/>
    <x v="15"/>
    <x v="13"/>
    <s v="F"/>
    <x v="2"/>
    <x v="0"/>
    <x v="0"/>
    <x v="18"/>
    <x v="1"/>
    <x v="2"/>
    <x v="2"/>
  </r>
  <r>
    <x v="371"/>
    <x v="4"/>
    <x v="12"/>
    <n v="36.200000000000003"/>
    <n v="144.80000000000001"/>
    <x v="16"/>
    <x v="13"/>
    <s v="M"/>
    <x v="2"/>
    <x v="2"/>
    <x v="0"/>
    <x v="21"/>
    <x v="3"/>
    <x v="2"/>
    <x v="1"/>
  </r>
  <r>
    <x v="372"/>
    <x v="2"/>
    <x v="0"/>
    <n v="150.9"/>
    <n v="150.9"/>
    <x v="16"/>
    <x v="22"/>
    <s v="M"/>
    <x v="0"/>
    <x v="0"/>
    <x v="0"/>
    <x v="1"/>
    <x v="14"/>
    <x v="2"/>
    <x v="1"/>
  </r>
  <r>
    <x v="373"/>
    <x v="18"/>
    <x v="12"/>
    <n v="77.599999999999994"/>
    <n v="310.39999999999998"/>
    <x v="16"/>
    <x v="13"/>
    <s v=""/>
    <x v="2"/>
    <x v="0"/>
    <x v="0"/>
    <x v="3"/>
    <x v="3"/>
    <x v="2"/>
    <x v="0"/>
  </r>
  <r>
    <x v="374"/>
    <x v="13"/>
    <x v="9"/>
    <n v="65.5"/>
    <n v="327.5"/>
    <x v="16"/>
    <x v="10"/>
    <s v="M"/>
    <x v="1"/>
    <x v="0"/>
    <x v="0"/>
    <x v="3"/>
    <x v="7"/>
    <x v="2"/>
    <x v="1"/>
  </r>
  <r>
    <x v="375"/>
    <x v="6"/>
    <x v="2"/>
    <n v="90.1"/>
    <n v="270.29999999999995"/>
    <x v="16"/>
    <x v="18"/>
    <s v="F"/>
    <x v="0"/>
    <x v="0"/>
    <x v="0"/>
    <x v="3"/>
    <x v="1"/>
    <x v="2"/>
    <x v="2"/>
  </r>
  <r>
    <x v="376"/>
    <x v="1"/>
    <x v="1"/>
    <n v="108.3"/>
    <n v="216.6"/>
    <x v="16"/>
    <x v="21"/>
    <s v="O"/>
    <x v="4"/>
    <x v="0"/>
    <x v="0"/>
    <x v="3"/>
    <x v="2"/>
    <x v="2"/>
    <x v="3"/>
  </r>
  <r>
    <x v="377"/>
    <x v="5"/>
    <x v="2"/>
    <n v="59.9"/>
    <n v="179.7"/>
    <x v="16"/>
    <x v="20"/>
    <s v="F"/>
    <x v="0"/>
    <x v="0"/>
    <x v="0"/>
    <x v="3"/>
    <x v="5"/>
    <x v="2"/>
    <x v="2"/>
  </r>
  <r>
    <x v="378"/>
    <x v="2"/>
    <x v="14"/>
    <n v="139"/>
    <n v="2363"/>
    <x v="16"/>
    <x v="18"/>
    <s v="F"/>
    <x v="1"/>
    <x v="4"/>
    <x v="0"/>
    <x v="3"/>
    <x v="1"/>
    <x v="2"/>
    <x v="2"/>
  </r>
  <r>
    <x v="379"/>
    <x v="6"/>
    <x v="2"/>
    <n v="87.3"/>
    <n v="261.89999999999998"/>
    <x v="16"/>
    <x v="13"/>
    <s v="F"/>
    <x v="0"/>
    <x v="0"/>
    <x v="0"/>
    <x v="3"/>
    <x v="3"/>
    <x v="2"/>
    <x v="2"/>
  </r>
  <r>
    <x v="380"/>
    <x v="11"/>
    <x v="12"/>
    <n v="42.3"/>
    <n v="169.2"/>
    <x v="16"/>
    <x v="10"/>
    <s v="M"/>
    <x v="0"/>
    <x v="0"/>
    <x v="0"/>
    <x v="3"/>
    <x v="7"/>
    <x v="2"/>
    <x v="1"/>
  </r>
  <r>
    <x v="381"/>
    <x v="14"/>
    <x v="8"/>
    <n v="103.6"/>
    <n v="828.8"/>
    <x v="16"/>
    <x v="13"/>
    <s v="O"/>
    <x v="0"/>
    <x v="1"/>
    <x v="0"/>
    <x v="3"/>
    <x v="3"/>
    <x v="2"/>
    <x v="3"/>
  </r>
  <r>
    <x v="382"/>
    <x v="6"/>
    <x v="1"/>
    <n v="90.9"/>
    <n v="181.8"/>
    <x v="16"/>
    <x v="13"/>
    <s v="M"/>
    <x v="1"/>
    <x v="0"/>
    <x v="0"/>
    <x v="6"/>
    <x v="3"/>
    <x v="2"/>
    <x v="1"/>
  </r>
  <r>
    <x v="383"/>
    <x v="9"/>
    <x v="27"/>
    <n v="100.9"/>
    <n v="1614.4"/>
    <x v="16"/>
    <x v="13"/>
    <s v="F"/>
    <x v="1"/>
    <x v="0"/>
    <x v="0"/>
    <x v="6"/>
    <x v="3"/>
    <x v="2"/>
    <x v="2"/>
  </r>
  <r>
    <x v="384"/>
    <x v="4"/>
    <x v="9"/>
    <n v="36"/>
    <n v="180"/>
    <x v="16"/>
    <x v="18"/>
    <s v="F"/>
    <x v="1"/>
    <x v="0"/>
    <x v="0"/>
    <x v="7"/>
    <x v="1"/>
    <x v="2"/>
    <x v="2"/>
  </r>
  <r>
    <x v="385"/>
    <x v="6"/>
    <x v="13"/>
    <n v="83.3"/>
    <n v="499.79999999999995"/>
    <x v="16"/>
    <x v="21"/>
    <s v=""/>
    <x v="2"/>
    <x v="0"/>
    <x v="0"/>
    <x v="7"/>
    <x v="2"/>
    <x v="2"/>
    <x v="0"/>
  </r>
  <r>
    <x v="386"/>
    <x v="2"/>
    <x v="14"/>
    <n v="60.3"/>
    <n v="1025.0999999999999"/>
    <x v="16"/>
    <x v="13"/>
    <s v="M"/>
    <x v="2"/>
    <x v="1"/>
    <x v="0"/>
    <x v="7"/>
    <x v="3"/>
    <x v="2"/>
    <x v="1"/>
  </r>
  <r>
    <x v="387"/>
    <x v="2"/>
    <x v="13"/>
    <n v="120.3"/>
    <n v="721.8"/>
    <x v="16"/>
    <x v="13"/>
    <s v="M"/>
    <x v="2"/>
    <x v="0"/>
    <x v="0"/>
    <x v="8"/>
    <x v="3"/>
    <x v="2"/>
    <x v="1"/>
  </r>
  <r>
    <x v="388"/>
    <x v="4"/>
    <x v="7"/>
    <n v="34"/>
    <n v="340"/>
    <x v="16"/>
    <x v="20"/>
    <s v="F"/>
    <x v="2"/>
    <x v="0"/>
    <x v="0"/>
    <x v="8"/>
    <x v="5"/>
    <x v="2"/>
    <x v="2"/>
  </r>
  <r>
    <x v="389"/>
    <x v="10"/>
    <x v="9"/>
    <n v="42.6"/>
    <n v="213"/>
    <x v="16"/>
    <x v="21"/>
    <s v="M"/>
    <x v="1"/>
    <x v="0"/>
    <x v="0"/>
    <x v="8"/>
    <x v="2"/>
    <x v="2"/>
    <x v="1"/>
  </r>
  <r>
    <x v="390"/>
    <x v="5"/>
    <x v="28"/>
    <n v="47.4"/>
    <n v="948"/>
    <x v="16"/>
    <x v="10"/>
    <s v="F"/>
    <x v="2"/>
    <x v="1"/>
    <x v="0"/>
    <x v="17"/>
    <x v="7"/>
    <x v="2"/>
    <x v="2"/>
  </r>
  <r>
    <x v="391"/>
    <x v="2"/>
    <x v="0"/>
    <n v="74"/>
    <n v="74"/>
    <x v="17"/>
    <x v="18"/>
    <s v="M"/>
    <x v="1"/>
    <x v="0"/>
    <x v="0"/>
    <x v="11"/>
    <x v="3"/>
    <x v="2"/>
    <x v="1"/>
  </r>
  <r>
    <x v="392"/>
    <x v="2"/>
    <x v="9"/>
    <n v="60.4"/>
    <n v="302"/>
    <x v="17"/>
    <x v="20"/>
    <s v="F"/>
    <x v="1"/>
    <x v="4"/>
    <x v="0"/>
    <x v="18"/>
    <x v="2"/>
    <x v="2"/>
    <x v="2"/>
  </r>
  <r>
    <x v="393"/>
    <x v="12"/>
    <x v="1"/>
    <n v="69.3"/>
    <n v="138.6"/>
    <x v="17"/>
    <x v="20"/>
    <s v="M"/>
    <x v="1"/>
    <x v="1"/>
    <x v="0"/>
    <x v="13"/>
    <x v="2"/>
    <x v="2"/>
    <x v="1"/>
  </r>
  <r>
    <x v="394"/>
    <x v="5"/>
    <x v="9"/>
    <n v="81"/>
    <n v="405"/>
    <x v="17"/>
    <x v="25"/>
    <s v="M"/>
    <x v="3"/>
    <x v="0"/>
    <x v="0"/>
    <x v="21"/>
    <x v="4"/>
    <x v="2"/>
    <x v="1"/>
  </r>
  <r>
    <x v="395"/>
    <x v="15"/>
    <x v="2"/>
    <n v="41.5"/>
    <n v="124.5"/>
    <x v="17"/>
    <x v="21"/>
    <s v="O"/>
    <x v="1"/>
    <x v="0"/>
    <x v="0"/>
    <x v="21"/>
    <x v="1"/>
    <x v="2"/>
    <x v="3"/>
  </r>
  <r>
    <x v="396"/>
    <x v="18"/>
    <x v="1"/>
    <n v="69.7"/>
    <n v="139.4"/>
    <x v="17"/>
    <x v="23"/>
    <s v="M"/>
    <x v="1"/>
    <x v="0"/>
    <x v="0"/>
    <x v="21"/>
    <x v="0"/>
    <x v="2"/>
    <x v="1"/>
  </r>
  <r>
    <x v="397"/>
    <x v="2"/>
    <x v="9"/>
    <n v="83.6"/>
    <n v="418"/>
    <x v="17"/>
    <x v="13"/>
    <s v="F"/>
    <x v="4"/>
    <x v="0"/>
    <x v="0"/>
    <x v="1"/>
    <x v="7"/>
    <x v="2"/>
    <x v="2"/>
  </r>
  <r>
    <x v="398"/>
    <x v="8"/>
    <x v="3"/>
    <n v="21.5"/>
    <n v="150.5"/>
    <x v="17"/>
    <x v="21"/>
    <s v="M"/>
    <x v="1"/>
    <x v="4"/>
    <x v="0"/>
    <x v="34"/>
    <x v="1"/>
    <x v="2"/>
    <x v="1"/>
  </r>
  <r>
    <x v="399"/>
    <x v="8"/>
    <x v="8"/>
    <n v="28.6"/>
    <n v="228.8"/>
    <x v="17"/>
    <x v="18"/>
    <s v="M"/>
    <x v="0"/>
    <x v="0"/>
    <x v="0"/>
    <x v="3"/>
    <x v="3"/>
    <x v="2"/>
    <x v="1"/>
  </r>
  <r>
    <x v="400"/>
    <x v="8"/>
    <x v="13"/>
    <n v="18.8"/>
    <n v="112.80000000000001"/>
    <x v="17"/>
    <x v="20"/>
    <s v="M"/>
    <x v="3"/>
    <x v="2"/>
    <x v="0"/>
    <x v="3"/>
    <x v="2"/>
    <x v="2"/>
    <x v="1"/>
  </r>
  <r>
    <x v="401"/>
    <x v="10"/>
    <x v="12"/>
    <n v="35.1"/>
    <n v="140.4"/>
    <x v="17"/>
    <x v="13"/>
    <s v="F"/>
    <x v="1"/>
    <x v="1"/>
    <x v="0"/>
    <x v="3"/>
    <x v="7"/>
    <x v="2"/>
    <x v="2"/>
  </r>
  <r>
    <x v="402"/>
    <x v="0"/>
    <x v="1"/>
    <n v="12.7"/>
    <n v="25.4"/>
    <x v="17"/>
    <x v="21"/>
    <s v="F"/>
    <x v="1"/>
    <x v="2"/>
    <x v="0"/>
    <x v="3"/>
    <x v="1"/>
    <x v="2"/>
    <x v="2"/>
  </r>
  <r>
    <x v="403"/>
    <x v="8"/>
    <x v="9"/>
    <n v="27.4"/>
    <n v="137"/>
    <x v="17"/>
    <x v="21"/>
    <s v="O"/>
    <x v="0"/>
    <x v="0"/>
    <x v="0"/>
    <x v="3"/>
    <x v="1"/>
    <x v="2"/>
    <x v="3"/>
  </r>
  <r>
    <x v="404"/>
    <x v="10"/>
    <x v="1"/>
    <n v="61.3"/>
    <n v="122.6"/>
    <x v="17"/>
    <x v="18"/>
    <s v="F"/>
    <x v="1"/>
    <x v="0"/>
    <x v="0"/>
    <x v="6"/>
    <x v="3"/>
    <x v="2"/>
    <x v="2"/>
  </r>
  <r>
    <x v="405"/>
    <x v="8"/>
    <x v="1"/>
    <n v="64.7"/>
    <n v="129.4"/>
    <x v="17"/>
    <x v="21"/>
    <s v="F"/>
    <x v="3"/>
    <x v="2"/>
    <x v="0"/>
    <x v="6"/>
    <x v="1"/>
    <x v="2"/>
    <x v="2"/>
  </r>
  <r>
    <x v="406"/>
    <x v="7"/>
    <x v="12"/>
    <n v="91.4"/>
    <n v="365.6"/>
    <x v="17"/>
    <x v="21"/>
    <s v="F"/>
    <x v="0"/>
    <x v="0"/>
    <x v="0"/>
    <x v="8"/>
    <x v="1"/>
    <x v="2"/>
    <x v="2"/>
  </r>
  <r>
    <x v="407"/>
    <x v="0"/>
    <x v="1"/>
    <n v="33.1"/>
    <n v="66.2"/>
    <x v="18"/>
    <x v="21"/>
    <s v="M"/>
    <x v="0"/>
    <x v="2"/>
    <x v="0"/>
    <x v="8"/>
    <x v="3"/>
    <x v="3"/>
    <x v="1"/>
  </r>
  <r>
    <x v="408"/>
    <x v="3"/>
    <x v="1"/>
    <n v="105.6"/>
    <n v="211.2"/>
    <x v="18"/>
    <x v="21"/>
    <s v="M"/>
    <x v="2"/>
    <x v="1"/>
    <x v="0"/>
    <x v="8"/>
    <x v="3"/>
    <x v="3"/>
    <x v="1"/>
  </r>
  <r>
    <x v="409"/>
    <x v="10"/>
    <x v="2"/>
    <n v="46.4"/>
    <n v="139.19999999999999"/>
    <x v="18"/>
    <x v="21"/>
    <s v="M"/>
    <x v="2"/>
    <x v="0"/>
    <x v="0"/>
    <x v="9"/>
    <x v="3"/>
    <x v="3"/>
    <x v="1"/>
  </r>
  <r>
    <x v="410"/>
    <x v="9"/>
    <x v="21"/>
    <n v="35.299999999999997"/>
    <n v="494.19999999999993"/>
    <x v="18"/>
    <x v="24"/>
    <s v="F"/>
    <x v="4"/>
    <x v="1"/>
    <x v="0"/>
    <x v="11"/>
    <x v="2"/>
    <x v="3"/>
    <x v="2"/>
  </r>
  <r>
    <x v="411"/>
    <x v="0"/>
    <x v="1"/>
    <n v="16.100000000000001"/>
    <n v="32.200000000000003"/>
    <x v="18"/>
    <x v="20"/>
    <s v="M"/>
    <x v="3"/>
    <x v="2"/>
    <x v="0"/>
    <x v="32"/>
    <x v="1"/>
    <x v="3"/>
    <x v="1"/>
  </r>
  <r>
    <x v="412"/>
    <x v="4"/>
    <x v="1"/>
    <n v="27.9"/>
    <n v="55.8"/>
    <x v="18"/>
    <x v="24"/>
    <s v="M"/>
    <x v="0"/>
    <x v="0"/>
    <x v="0"/>
    <x v="13"/>
    <x v="2"/>
    <x v="3"/>
    <x v="1"/>
  </r>
  <r>
    <x v="413"/>
    <x v="8"/>
    <x v="0"/>
    <n v="47.1"/>
    <n v="47.1"/>
    <x v="18"/>
    <x v="22"/>
    <s v="F"/>
    <x v="1"/>
    <x v="0"/>
    <x v="0"/>
    <x v="2"/>
    <x v="9"/>
    <x v="3"/>
    <x v="2"/>
  </r>
  <r>
    <x v="414"/>
    <x v="6"/>
    <x v="1"/>
    <n v="85"/>
    <n v="170"/>
    <x v="18"/>
    <x v="24"/>
    <s v=""/>
    <x v="2"/>
    <x v="2"/>
    <x v="0"/>
    <x v="22"/>
    <x v="2"/>
    <x v="3"/>
    <x v="0"/>
  </r>
  <r>
    <x v="415"/>
    <x v="18"/>
    <x v="1"/>
    <n v="89"/>
    <n v="178"/>
    <x v="18"/>
    <x v="20"/>
    <s v="F"/>
    <x v="0"/>
    <x v="0"/>
    <x v="0"/>
    <x v="3"/>
    <x v="1"/>
    <x v="3"/>
    <x v="2"/>
  </r>
  <r>
    <x v="416"/>
    <x v="16"/>
    <x v="2"/>
    <n v="36.6"/>
    <n v="109.80000000000001"/>
    <x v="18"/>
    <x v="21"/>
    <s v="O"/>
    <x v="3"/>
    <x v="2"/>
    <x v="0"/>
    <x v="3"/>
    <x v="3"/>
    <x v="3"/>
    <x v="3"/>
  </r>
  <r>
    <x v="417"/>
    <x v="6"/>
    <x v="3"/>
    <n v="43.5"/>
    <n v="304.5"/>
    <x v="18"/>
    <x v="21"/>
    <s v="M"/>
    <x v="1"/>
    <x v="2"/>
    <x v="0"/>
    <x v="3"/>
    <x v="3"/>
    <x v="3"/>
    <x v="1"/>
  </r>
  <r>
    <x v="418"/>
    <x v="9"/>
    <x v="10"/>
    <n v="30.5"/>
    <n v="579.5"/>
    <x v="18"/>
    <x v="18"/>
    <s v="F"/>
    <x v="3"/>
    <x v="0"/>
    <x v="0"/>
    <x v="3"/>
    <x v="7"/>
    <x v="3"/>
    <x v="2"/>
  </r>
  <r>
    <x v="419"/>
    <x v="1"/>
    <x v="1"/>
    <n v="107.7"/>
    <n v="215.4"/>
    <x v="18"/>
    <x v="23"/>
    <s v="M"/>
    <x v="3"/>
    <x v="4"/>
    <x v="0"/>
    <x v="3"/>
    <x v="5"/>
    <x v="3"/>
    <x v="1"/>
  </r>
  <r>
    <x v="420"/>
    <x v="17"/>
    <x v="18"/>
    <n v="57.1"/>
    <n v="1484.6000000000001"/>
    <x v="18"/>
    <x v="21"/>
    <s v="M"/>
    <x v="1"/>
    <x v="0"/>
    <x v="0"/>
    <x v="3"/>
    <x v="3"/>
    <x v="3"/>
    <x v="1"/>
  </r>
  <r>
    <x v="421"/>
    <x v="2"/>
    <x v="7"/>
    <n v="111.7"/>
    <n v="1117"/>
    <x v="18"/>
    <x v="21"/>
    <s v="F"/>
    <x v="4"/>
    <x v="2"/>
    <x v="0"/>
    <x v="3"/>
    <x v="3"/>
    <x v="3"/>
    <x v="2"/>
  </r>
  <r>
    <x v="422"/>
    <x v="18"/>
    <x v="3"/>
    <n v="44.3"/>
    <n v="310.09999999999997"/>
    <x v="18"/>
    <x v="24"/>
    <s v="M"/>
    <x v="3"/>
    <x v="2"/>
    <x v="0"/>
    <x v="3"/>
    <x v="2"/>
    <x v="3"/>
    <x v="1"/>
  </r>
  <r>
    <x v="423"/>
    <x v="2"/>
    <x v="8"/>
    <n v="95.8"/>
    <n v="766.4"/>
    <x v="18"/>
    <x v="17"/>
    <s v="O"/>
    <x v="0"/>
    <x v="0"/>
    <x v="0"/>
    <x v="3"/>
    <x v="4"/>
    <x v="3"/>
    <x v="3"/>
  </r>
  <r>
    <x v="424"/>
    <x v="10"/>
    <x v="3"/>
    <n v="22.6"/>
    <n v="158.20000000000002"/>
    <x v="18"/>
    <x v="24"/>
    <s v="F"/>
    <x v="3"/>
    <x v="1"/>
    <x v="0"/>
    <x v="3"/>
    <x v="2"/>
    <x v="3"/>
    <x v="2"/>
  </r>
  <r>
    <x v="425"/>
    <x v="8"/>
    <x v="8"/>
    <n v="25.6"/>
    <n v="204.8"/>
    <x v="18"/>
    <x v="20"/>
    <s v="F"/>
    <x v="4"/>
    <x v="0"/>
    <x v="0"/>
    <x v="3"/>
    <x v="1"/>
    <x v="3"/>
    <x v="2"/>
  </r>
  <r>
    <x v="426"/>
    <x v="6"/>
    <x v="27"/>
    <n v="54.3"/>
    <n v="868.8"/>
    <x v="18"/>
    <x v="24"/>
    <s v="F"/>
    <x v="4"/>
    <x v="0"/>
    <x v="0"/>
    <x v="3"/>
    <x v="2"/>
    <x v="3"/>
    <x v="2"/>
  </r>
  <r>
    <x v="427"/>
    <x v="18"/>
    <x v="15"/>
    <n v="51.3"/>
    <n v="666.9"/>
    <x v="18"/>
    <x v="20"/>
    <s v="M"/>
    <x v="0"/>
    <x v="2"/>
    <x v="0"/>
    <x v="3"/>
    <x v="1"/>
    <x v="3"/>
    <x v="1"/>
  </r>
  <r>
    <x v="428"/>
    <x v="0"/>
    <x v="8"/>
    <n v="25.6"/>
    <n v="204.8"/>
    <x v="18"/>
    <x v="21"/>
    <s v="F"/>
    <x v="1"/>
    <x v="1"/>
    <x v="0"/>
    <x v="3"/>
    <x v="3"/>
    <x v="3"/>
    <x v="2"/>
  </r>
  <r>
    <x v="429"/>
    <x v="0"/>
    <x v="1"/>
    <n v="15.6"/>
    <n v="31.2"/>
    <x v="18"/>
    <x v="21"/>
    <s v="F"/>
    <x v="2"/>
    <x v="2"/>
    <x v="0"/>
    <x v="3"/>
    <x v="3"/>
    <x v="3"/>
    <x v="2"/>
  </r>
  <r>
    <x v="430"/>
    <x v="8"/>
    <x v="2"/>
    <n v="30.3"/>
    <n v="90.9"/>
    <x v="18"/>
    <x v="23"/>
    <s v="F"/>
    <x v="0"/>
    <x v="1"/>
    <x v="0"/>
    <x v="3"/>
    <x v="5"/>
    <x v="3"/>
    <x v="2"/>
  </r>
  <r>
    <x v="431"/>
    <x v="12"/>
    <x v="1"/>
    <n v="30.3"/>
    <n v="60.6"/>
    <x v="18"/>
    <x v="25"/>
    <s v="F"/>
    <x v="0"/>
    <x v="2"/>
    <x v="0"/>
    <x v="37"/>
    <x v="0"/>
    <x v="3"/>
    <x v="2"/>
  </r>
  <r>
    <x v="432"/>
    <x v="10"/>
    <x v="2"/>
    <n v="53"/>
    <n v="159"/>
    <x v="18"/>
    <x v="19"/>
    <s v="F"/>
    <x v="2"/>
    <x v="0"/>
    <x v="0"/>
    <x v="24"/>
    <x v="6"/>
    <x v="3"/>
    <x v="2"/>
  </r>
  <r>
    <x v="433"/>
    <x v="5"/>
    <x v="16"/>
    <n v="59.9"/>
    <n v="1078.2"/>
    <x v="18"/>
    <x v="24"/>
    <s v="M"/>
    <x v="2"/>
    <x v="4"/>
    <x v="0"/>
    <x v="25"/>
    <x v="2"/>
    <x v="3"/>
    <x v="1"/>
  </r>
  <r>
    <x v="434"/>
    <x v="9"/>
    <x v="1"/>
    <n v="45.7"/>
    <n v="91.4"/>
    <x v="18"/>
    <x v="21"/>
    <s v="F"/>
    <x v="1"/>
    <x v="2"/>
    <x v="0"/>
    <x v="6"/>
    <x v="3"/>
    <x v="3"/>
    <x v="2"/>
  </r>
  <r>
    <x v="435"/>
    <x v="8"/>
    <x v="12"/>
    <n v="46.1"/>
    <n v="184.4"/>
    <x v="18"/>
    <x v="21"/>
    <s v="M"/>
    <x v="0"/>
    <x v="0"/>
    <x v="0"/>
    <x v="6"/>
    <x v="3"/>
    <x v="3"/>
    <x v="1"/>
  </r>
  <r>
    <x v="436"/>
    <x v="8"/>
    <x v="2"/>
    <n v="17.5"/>
    <n v="52.5"/>
    <x v="18"/>
    <x v="21"/>
    <s v="F"/>
    <x v="0"/>
    <x v="2"/>
    <x v="0"/>
    <x v="8"/>
    <x v="3"/>
    <x v="3"/>
    <x v="2"/>
  </r>
  <r>
    <x v="437"/>
    <x v="10"/>
    <x v="2"/>
    <n v="36.5"/>
    <n v="109.5"/>
    <x v="18"/>
    <x v="26"/>
    <s v="M"/>
    <x v="2"/>
    <x v="0"/>
    <x v="0"/>
    <x v="8"/>
    <x v="11"/>
    <x v="3"/>
    <x v="1"/>
  </r>
  <r>
    <x v="438"/>
    <x v="8"/>
    <x v="1"/>
    <n v="47.5"/>
    <n v="95"/>
    <x v="19"/>
    <x v="24"/>
    <s v="F"/>
    <x v="1"/>
    <x v="0"/>
    <x v="0"/>
    <x v="8"/>
    <x v="1"/>
    <x v="3"/>
    <x v="2"/>
  </r>
  <r>
    <x v="439"/>
    <x v="6"/>
    <x v="9"/>
    <n v="45.6"/>
    <n v="228"/>
    <x v="19"/>
    <x v="24"/>
    <s v="F"/>
    <x v="0"/>
    <x v="2"/>
    <x v="0"/>
    <x v="8"/>
    <x v="1"/>
    <x v="3"/>
    <x v="2"/>
  </r>
  <r>
    <x v="440"/>
    <x v="9"/>
    <x v="1"/>
    <n v="50.5"/>
    <n v="101"/>
    <x v="19"/>
    <x v="24"/>
    <s v="M"/>
    <x v="0"/>
    <x v="1"/>
    <x v="0"/>
    <x v="17"/>
    <x v="1"/>
    <x v="3"/>
    <x v="1"/>
  </r>
  <r>
    <x v="441"/>
    <x v="2"/>
    <x v="7"/>
    <n v="99.8"/>
    <n v="998"/>
    <x v="19"/>
    <x v="23"/>
    <s v="F"/>
    <x v="2"/>
    <x v="1"/>
    <x v="0"/>
    <x v="17"/>
    <x v="2"/>
    <x v="3"/>
    <x v="2"/>
  </r>
  <r>
    <x v="442"/>
    <x v="8"/>
    <x v="20"/>
    <n v="19.2"/>
    <n v="288"/>
    <x v="19"/>
    <x v="24"/>
    <s v="O"/>
    <x v="4"/>
    <x v="1"/>
    <x v="0"/>
    <x v="26"/>
    <x v="1"/>
    <x v="3"/>
    <x v="3"/>
  </r>
  <r>
    <x v="443"/>
    <x v="17"/>
    <x v="2"/>
    <n v="22.6"/>
    <n v="67.800000000000011"/>
    <x v="19"/>
    <x v="20"/>
    <s v="M"/>
    <x v="1"/>
    <x v="0"/>
    <x v="0"/>
    <x v="11"/>
    <x v="3"/>
    <x v="3"/>
    <x v="1"/>
  </r>
  <r>
    <x v="444"/>
    <x v="1"/>
    <x v="20"/>
    <n v="126.9"/>
    <n v="1903.5"/>
    <x v="19"/>
    <x v="24"/>
    <s v="F"/>
    <x v="0"/>
    <x v="2"/>
    <x v="0"/>
    <x v="11"/>
    <x v="1"/>
    <x v="3"/>
    <x v="2"/>
  </r>
  <r>
    <x v="445"/>
    <x v="2"/>
    <x v="1"/>
    <n v="100.3"/>
    <n v="200.6"/>
    <x v="19"/>
    <x v="20"/>
    <s v="F"/>
    <x v="0"/>
    <x v="1"/>
    <x v="0"/>
    <x v="11"/>
    <x v="3"/>
    <x v="3"/>
    <x v="2"/>
  </r>
  <r>
    <x v="446"/>
    <x v="4"/>
    <x v="16"/>
    <n v="24.6"/>
    <n v="442.8"/>
    <x v="19"/>
    <x v="20"/>
    <s v="F"/>
    <x v="4"/>
    <x v="0"/>
    <x v="0"/>
    <x v="13"/>
    <x v="3"/>
    <x v="3"/>
    <x v="2"/>
  </r>
  <r>
    <x v="447"/>
    <x v="6"/>
    <x v="1"/>
    <n v="47.3"/>
    <n v="94.6"/>
    <x v="19"/>
    <x v="20"/>
    <s v="M"/>
    <x v="1"/>
    <x v="2"/>
    <x v="0"/>
    <x v="13"/>
    <x v="3"/>
    <x v="3"/>
    <x v="1"/>
  </r>
  <r>
    <x v="448"/>
    <x v="6"/>
    <x v="3"/>
    <n v="40.799999999999997"/>
    <n v="285.59999999999997"/>
    <x v="19"/>
    <x v="23"/>
    <s v="F"/>
    <x v="2"/>
    <x v="2"/>
    <x v="0"/>
    <x v="21"/>
    <x v="2"/>
    <x v="3"/>
    <x v="2"/>
  </r>
  <r>
    <x v="449"/>
    <x v="8"/>
    <x v="8"/>
    <n v="49.2"/>
    <n v="393.6"/>
    <x v="19"/>
    <x v="24"/>
    <s v="F"/>
    <x v="0"/>
    <x v="0"/>
    <x v="0"/>
    <x v="1"/>
    <x v="1"/>
    <x v="3"/>
    <x v="2"/>
  </r>
  <r>
    <x v="450"/>
    <x v="8"/>
    <x v="0"/>
    <n v="28.5"/>
    <n v="28.5"/>
    <x v="19"/>
    <x v="24"/>
    <s v=""/>
    <x v="2"/>
    <x v="1"/>
    <x v="0"/>
    <x v="3"/>
    <x v="1"/>
    <x v="3"/>
    <x v="0"/>
  </r>
  <r>
    <x v="451"/>
    <x v="18"/>
    <x v="1"/>
    <n v="36.799999999999997"/>
    <n v="73.599999999999994"/>
    <x v="19"/>
    <x v="19"/>
    <s v="F"/>
    <x v="0"/>
    <x v="2"/>
    <x v="0"/>
    <x v="3"/>
    <x v="4"/>
    <x v="3"/>
    <x v="2"/>
  </r>
  <r>
    <x v="452"/>
    <x v="7"/>
    <x v="2"/>
    <n v="33.5"/>
    <n v="100.5"/>
    <x v="19"/>
    <x v="20"/>
    <s v="F"/>
    <x v="0"/>
    <x v="1"/>
    <x v="0"/>
    <x v="3"/>
    <x v="3"/>
    <x v="3"/>
    <x v="2"/>
  </r>
  <r>
    <x v="453"/>
    <x v="6"/>
    <x v="13"/>
    <n v="62.5"/>
    <n v="375"/>
    <x v="19"/>
    <x v="24"/>
    <s v="F"/>
    <x v="0"/>
    <x v="0"/>
    <x v="0"/>
    <x v="3"/>
    <x v="1"/>
    <x v="3"/>
    <x v="2"/>
  </r>
  <r>
    <x v="454"/>
    <x v="8"/>
    <x v="29"/>
    <n v="47.9"/>
    <n v="1916"/>
    <x v="19"/>
    <x v="20"/>
    <s v="F"/>
    <x v="3"/>
    <x v="0"/>
    <x v="0"/>
    <x v="3"/>
    <x v="3"/>
    <x v="3"/>
    <x v="2"/>
  </r>
  <r>
    <x v="455"/>
    <x v="6"/>
    <x v="13"/>
    <n v="92.9"/>
    <n v="557.40000000000009"/>
    <x v="19"/>
    <x v="27"/>
    <s v="F"/>
    <x v="0"/>
    <x v="4"/>
    <x v="0"/>
    <x v="3"/>
    <x v="11"/>
    <x v="3"/>
    <x v="2"/>
  </r>
  <r>
    <x v="456"/>
    <x v="12"/>
    <x v="2"/>
    <n v="44.1"/>
    <n v="132.30000000000001"/>
    <x v="19"/>
    <x v="21"/>
    <s v="F"/>
    <x v="1"/>
    <x v="1"/>
    <x v="0"/>
    <x v="43"/>
    <x v="7"/>
    <x v="3"/>
    <x v="2"/>
  </r>
  <r>
    <x v="457"/>
    <x v="0"/>
    <x v="0"/>
    <n v="11.4"/>
    <n v="11.4"/>
    <x v="20"/>
    <x v="23"/>
    <s v="F"/>
    <x v="2"/>
    <x v="0"/>
    <x v="0"/>
    <x v="5"/>
    <x v="1"/>
    <x v="3"/>
    <x v="2"/>
  </r>
  <r>
    <x v="458"/>
    <x v="6"/>
    <x v="0"/>
    <n v="83.7"/>
    <n v="83.7"/>
    <x v="20"/>
    <x v="23"/>
    <s v="F"/>
    <x v="0"/>
    <x v="2"/>
    <x v="0"/>
    <x v="6"/>
    <x v="1"/>
    <x v="3"/>
    <x v="2"/>
  </r>
  <r>
    <x v="459"/>
    <x v="10"/>
    <x v="1"/>
    <n v="23.2"/>
    <n v="46.4"/>
    <x v="20"/>
    <x v="24"/>
    <s v="M"/>
    <x v="2"/>
    <x v="0"/>
    <x v="0"/>
    <x v="8"/>
    <x v="3"/>
    <x v="3"/>
    <x v="1"/>
  </r>
  <r>
    <x v="460"/>
    <x v="2"/>
    <x v="0"/>
    <n v="162.1"/>
    <n v="162.1"/>
    <x v="20"/>
    <x v="25"/>
    <s v="F"/>
    <x v="0"/>
    <x v="2"/>
    <x v="0"/>
    <x v="9"/>
    <x v="2"/>
    <x v="3"/>
    <x v="2"/>
  </r>
  <r>
    <x v="461"/>
    <x v="6"/>
    <x v="12"/>
    <n v="49.2"/>
    <n v="196.8"/>
    <x v="20"/>
    <x v="17"/>
    <s v="M"/>
    <x v="1"/>
    <x v="0"/>
    <x v="0"/>
    <x v="9"/>
    <x v="5"/>
    <x v="3"/>
    <x v="1"/>
  </r>
  <r>
    <x v="462"/>
    <x v="1"/>
    <x v="1"/>
    <n v="61"/>
    <n v="122"/>
    <x v="20"/>
    <x v="24"/>
    <s v="M"/>
    <x v="3"/>
    <x v="0"/>
    <x v="0"/>
    <x v="10"/>
    <x v="3"/>
    <x v="3"/>
    <x v="1"/>
  </r>
  <r>
    <x v="463"/>
    <x v="2"/>
    <x v="7"/>
    <n v="53.1"/>
    <n v="531"/>
    <x v="20"/>
    <x v="23"/>
    <s v="M"/>
    <x v="0"/>
    <x v="0"/>
    <x v="0"/>
    <x v="11"/>
    <x v="1"/>
    <x v="3"/>
    <x v="1"/>
  </r>
  <r>
    <x v="464"/>
    <x v="4"/>
    <x v="1"/>
    <n v="22.4"/>
    <n v="44.8"/>
    <x v="20"/>
    <x v="23"/>
    <s v=""/>
    <x v="1"/>
    <x v="2"/>
    <x v="0"/>
    <x v="13"/>
    <x v="1"/>
    <x v="3"/>
    <x v="0"/>
  </r>
  <r>
    <x v="465"/>
    <x v="1"/>
    <x v="9"/>
    <n v="75.3"/>
    <n v="376.5"/>
    <x v="20"/>
    <x v="24"/>
    <s v="M"/>
    <x v="0"/>
    <x v="0"/>
    <x v="0"/>
    <x v="21"/>
    <x v="3"/>
    <x v="3"/>
    <x v="1"/>
  </r>
  <r>
    <x v="466"/>
    <x v="6"/>
    <x v="0"/>
    <n v="48.5"/>
    <n v="48.5"/>
    <x v="20"/>
    <x v="24"/>
    <s v="F"/>
    <x v="0"/>
    <x v="1"/>
    <x v="0"/>
    <x v="21"/>
    <x v="3"/>
    <x v="3"/>
    <x v="2"/>
  </r>
  <r>
    <x v="467"/>
    <x v="6"/>
    <x v="0"/>
    <n v="42.6"/>
    <n v="42.6"/>
    <x v="20"/>
    <x v="17"/>
    <s v="F"/>
    <x v="3"/>
    <x v="0"/>
    <x v="0"/>
    <x v="1"/>
    <x v="5"/>
    <x v="3"/>
    <x v="2"/>
  </r>
  <r>
    <x v="468"/>
    <x v="5"/>
    <x v="9"/>
    <n v="49"/>
    <n v="245"/>
    <x v="20"/>
    <x v="24"/>
    <s v="M"/>
    <x v="0"/>
    <x v="0"/>
    <x v="0"/>
    <x v="22"/>
    <x v="3"/>
    <x v="3"/>
    <x v="1"/>
  </r>
  <r>
    <x v="469"/>
    <x v="8"/>
    <x v="2"/>
    <n v="31.3"/>
    <n v="93.9"/>
    <x v="20"/>
    <x v="24"/>
    <s v="M"/>
    <x v="2"/>
    <x v="1"/>
    <x v="0"/>
    <x v="3"/>
    <x v="3"/>
    <x v="3"/>
    <x v="1"/>
  </r>
  <r>
    <x v="470"/>
    <x v="2"/>
    <x v="1"/>
    <n v="85.4"/>
    <n v="170.8"/>
    <x v="20"/>
    <x v="24"/>
    <s v="F"/>
    <x v="2"/>
    <x v="0"/>
    <x v="0"/>
    <x v="3"/>
    <x v="3"/>
    <x v="3"/>
    <x v="2"/>
  </r>
  <r>
    <x v="471"/>
    <x v="8"/>
    <x v="12"/>
    <n v="40"/>
    <n v="160"/>
    <x v="20"/>
    <x v="24"/>
    <s v="O"/>
    <x v="0"/>
    <x v="2"/>
    <x v="0"/>
    <x v="3"/>
    <x v="3"/>
    <x v="3"/>
    <x v="3"/>
  </r>
  <r>
    <x v="472"/>
    <x v="5"/>
    <x v="1"/>
    <n v="38.5"/>
    <n v="77"/>
    <x v="20"/>
    <x v="25"/>
    <s v="M"/>
    <x v="1"/>
    <x v="2"/>
    <x v="0"/>
    <x v="3"/>
    <x v="2"/>
    <x v="3"/>
    <x v="1"/>
  </r>
  <r>
    <x v="473"/>
    <x v="2"/>
    <x v="1"/>
    <n v="57.8"/>
    <n v="115.6"/>
    <x v="20"/>
    <x v="24"/>
    <s v=""/>
    <x v="0"/>
    <x v="0"/>
    <x v="0"/>
    <x v="3"/>
    <x v="3"/>
    <x v="3"/>
    <x v="0"/>
  </r>
  <r>
    <x v="474"/>
    <x v="8"/>
    <x v="0"/>
    <n v="19.2"/>
    <n v="19.2"/>
    <x v="20"/>
    <x v="24"/>
    <s v="F"/>
    <x v="0"/>
    <x v="4"/>
    <x v="0"/>
    <x v="3"/>
    <x v="3"/>
    <x v="3"/>
    <x v="2"/>
  </r>
  <r>
    <x v="475"/>
    <x v="6"/>
    <x v="13"/>
    <n v="114.8"/>
    <n v="688.8"/>
    <x v="20"/>
    <x v="25"/>
    <s v="M"/>
    <x v="1"/>
    <x v="1"/>
    <x v="0"/>
    <x v="3"/>
    <x v="2"/>
    <x v="3"/>
    <x v="1"/>
  </r>
  <r>
    <x v="476"/>
    <x v="10"/>
    <x v="3"/>
    <n v="48.4"/>
    <n v="338.8"/>
    <x v="20"/>
    <x v="25"/>
    <s v="F"/>
    <x v="3"/>
    <x v="1"/>
    <x v="0"/>
    <x v="3"/>
    <x v="2"/>
    <x v="3"/>
    <x v="2"/>
  </r>
  <r>
    <x v="477"/>
    <x v="9"/>
    <x v="9"/>
    <n v="73.2"/>
    <n v="366"/>
    <x v="20"/>
    <x v="24"/>
    <s v="F"/>
    <x v="1"/>
    <x v="4"/>
    <x v="0"/>
    <x v="3"/>
    <x v="3"/>
    <x v="3"/>
    <x v="2"/>
  </r>
  <r>
    <x v="478"/>
    <x v="15"/>
    <x v="1"/>
    <n v="48.6"/>
    <n v="97.2"/>
    <x v="20"/>
    <x v="17"/>
    <s v="F"/>
    <x v="3"/>
    <x v="0"/>
    <x v="0"/>
    <x v="3"/>
    <x v="5"/>
    <x v="3"/>
    <x v="2"/>
  </r>
  <r>
    <x v="479"/>
    <x v="0"/>
    <x v="13"/>
    <n v="48.7"/>
    <n v="292.20000000000005"/>
    <x v="20"/>
    <x v="24"/>
    <s v="M"/>
    <x v="0"/>
    <x v="0"/>
    <x v="0"/>
    <x v="3"/>
    <x v="3"/>
    <x v="3"/>
    <x v="1"/>
  </r>
  <r>
    <x v="480"/>
    <x v="4"/>
    <x v="1"/>
    <n v="32.200000000000003"/>
    <n v="64.400000000000006"/>
    <x v="20"/>
    <x v="25"/>
    <s v="M"/>
    <x v="2"/>
    <x v="2"/>
    <x v="0"/>
    <x v="3"/>
    <x v="2"/>
    <x v="3"/>
    <x v="1"/>
  </r>
  <r>
    <x v="481"/>
    <x v="15"/>
    <x v="8"/>
    <n v="25.8"/>
    <n v="206.4"/>
    <x v="20"/>
    <x v="24"/>
    <s v="M"/>
    <x v="0"/>
    <x v="0"/>
    <x v="0"/>
    <x v="37"/>
    <x v="3"/>
    <x v="3"/>
    <x v="1"/>
  </r>
  <r>
    <x v="482"/>
    <x v="6"/>
    <x v="1"/>
    <n v="94.8"/>
    <n v="189.6"/>
    <x v="21"/>
    <x v="17"/>
    <s v="F"/>
    <x v="1"/>
    <x v="1"/>
    <x v="0"/>
    <x v="25"/>
    <x v="2"/>
    <x v="3"/>
    <x v="2"/>
  </r>
  <r>
    <x v="483"/>
    <x v="15"/>
    <x v="30"/>
    <n v="56.8"/>
    <n v="1420"/>
    <x v="21"/>
    <x v="17"/>
    <s v="M"/>
    <x v="0"/>
    <x v="0"/>
    <x v="0"/>
    <x v="25"/>
    <x v="2"/>
    <x v="3"/>
    <x v="1"/>
  </r>
  <r>
    <x v="484"/>
    <x v="8"/>
    <x v="27"/>
    <n v="18.3"/>
    <n v="292.8"/>
    <x v="21"/>
    <x v="28"/>
    <s v="F"/>
    <x v="2"/>
    <x v="2"/>
    <x v="0"/>
    <x v="23"/>
    <x v="6"/>
    <x v="3"/>
    <x v="2"/>
  </r>
  <r>
    <x v="485"/>
    <x v="0"/>
    <x v="2"/>
    <n v="16.8"/>
    <n v="50.400000000000006"/>
    <x v="21"/>
    <x v="22"/>
    <s v="F"/>
    <x v="2"/>
    <x v="2"/>
    <x v="0"/>
    <x v="8"/>
    <x v="0"/>
    <x v="3"/>
    <x v="2"/>
  </r>
  <r>
    <x v="486"/>
    <x v="5"/>
    <x v="5"/>
    <n v="35.799999999999997"/>
    <n v="393.79999999999995"/>
    <x v="21"/>
    <x v="23"/>
    <s v="M"/>
    <x v="1"/>
    <x v="0"/>
    <x v="0"/>
    <x v="17"/>
    <x v="3"/>
    <x v="3"/>
    <x v="1"/>
  </r>
  <r>
    <x v="487"/>
    <x v="18"/>
    <x v="0"/>
    <n v="64.900000000000006"/>
    <n v="64.900000000000006"/>
    <x v="21"/>
    <x v="23"/>
    <s v="M"/>
    <x v="0"/>
    <x v="1"/>
    <x v="0"/>
    <x v="17"/>
    <x v="3"/>
    <x v="3"/>
    <x v="1"/>
  </r>
  <r>
    <x v="488"/>
    <x v="18"/>
    <x v="0"/>
    <n v="28.5"/>
    <n v="28.5"/>
    <x v="21"/>
    <x v="25"/>
    <s v=""/>
    <x v="1"/>
    <x v="0"/>
    <x v="0"/>
    <x v="9"/>
    <x v="1"/>
    <x v="3"/>
    <x v="0"/>
  </r>
  <r>
    <x v="489"/>
    <x v="18"/>
    <x v="1"/>
    <n v="103.5"/>
    <n v="207"/>
    <x v="21"/>
    <x v="25"/>
    <s v="F"/>
    <x v="1"/>
    <x v="0"/>
    <x v="0"/>
    <x v="10"/>
    <x v="1"/>
    <x v="3"/>
    <x v="2"/>
  </r>
  <r>
    <x v="490"/>
    <x v="4"/>
    <x v="1"/>
    <n v="41.2"/>
    <n v="82.4"/>
    <x v="21"/>
    <x v="23"/>
    <s v="F"/>
    <x v="1"/>
    <x v="0"/>
    <x v="0"/>
    <x v="10"/>
    <x v="3"/>
    <x v="3"/>
    <x v="2"/>
  </r>
  <r>
    <x v="491"/>
    <x v="9"/>
    <x v="0"/>
    <n v="37.799999999999997"/>
    <n v="37.799999999999997"/>
    <x v="21"/>
    <x v="25"/>
    <s v="F"/>
    <x v="3"/>
    <x v="3"/>
    <x v="0"/>
    <x v="11"/>
    <x v="1"/>
    <x v="3"/>
    <x v="2"/>
  </r>
  <r>
    <x v="492"/>
    <x v="8"/>
    <x v="1"/>
    <n v="42.6"/>
    <n v="85.2"/>
    <x v="21"/>
    <x v="25"/>
    <s v="F"/>
    <x v="4"/>
    <x v="0"/>
    <x v="0"/>
    <x v="11"/>
    <x v="1"/>
    <x v="3"/>
    <x v="2"/>
  </r>
  <r>
    <x v="493"/>
    <x v="8"/>
    <x v="7"/>
    <n v="15.2"/>
    <n v="152"/>
    <x v="21"/>
    <x v="25"/>
    <s v="F"/>
    <x v="2"/>
    <x v="0"/>
    <x v="0"/>
    <x v="11"/>
    <x v="1"/>
    <x v="3"/>
    <x v="2"/>
  </r>
  <r>
    <x v="494"/>
    <x v="7"/>
    <x v="12"/>
    <n v="83.4"/>
    <n v="333.6"/>
    <x v="21"/>
    <x v="23"/>
    <s v="F"/>
    <x v="2"/>
    <x v="1"/>
    <x v="0"/>
    <x v="18"/>
    <x v="3"/>
    <x v="3"/>
    <x v="2"/>
  </r>
  <r>
    <x v="495"/>
    <x v="19"/>
    <x v="1"/>
    <n v="27.7"/>
    <n v="55.4"/>
    <x v="21"/>
    <x v="23"/>
    <s v="F"/>
    <x v="0"/>
    <x v="1"/>
    <x v="0"/>
    <x v="13"/>
    <x v="3"/>
    <x v="3"/>
    <x v="2"/>
  </r>
  <r>
    <x v="496"/>
    <x v="10"/>
    <x v="4"/>
    <n v="20.8"/>
    <n v="249.60000000000002"/>
    <x v="21"/>
    <x v="23"/>
    <s v="M"/>
    <x v="3"/>
    <x v="0"/>
    <x v="0"/>
    <x v="13"/>
    <x v="3"/>
    <x v="3"/>
    <x v="1"/>
  </r>
  <r>
    <x v="497"/>
    <x v="11"/>
    <x v="1"/>
    <n v="72.7"/>
    <n v="145.4"/>
    <x v="21"/>
    <x v="19"/>
    <s v="F"/>
    <x v="4"/>
    <x v="2"/>
    <x v="0"/>
    <x v="44"/>
    <x v="5"/>
    <x v="3"/>
    <x v="2"/>
  </r>
  <r>
    <x v="498"/>
    <x v="10"/>
    <x v="12"/>
    <n v="38.6"/>
    <n v="154.4"/>
    <x v="21"/>
    <x v="23"/>
    <s v="M"/>
    <x v="0"/>
    <x v="2"/>
    <x v="0"/>
    <x v="22"/>
    <x v="3"/>
    <x v="3"/>
    <x v="1"/>
  </r>
  <r>
    <x v="499"/>
    <x v="8"/>
    <x v="3"/>
    <n v="33.1"/>
    <n v="231.70000000000002"/>
    <x v="21"/>
    <x v="23"/>
    <s v="O"/>
    <x v="4"/>
    <x v="3"/>
    <x v="0"/>
    <x v="3"/>
    <x v="3"/>
    <x v="3"/>
    <x v="3"/>
  </r>
  <r>
    <x v="500"/>
    <x v="10"/>
    <x v="1"/>
    <n v="30.5"/>
    <n v="61"/>
    <x v="21"/>
    <x v="24"/>
    <s v=""/>
    <x v="1"/>
    <x v="1"/>
    <x v="0"/>
    <x v="3"/>
    <x v="7"/>
    <x v="3"/>
    <x v="0"/>
  </r>
  <r>
    <x v="501"/>
    <x v="9"/>
    <x v="1"/>
    <n v="69.599999999999994"/>
    <n v="139.19999999999999"/>
    <x v="21"/>
    <x v="23"/>
    <s v="M"/>
    <x v="0"/>
    <x v="1"/>
    <x v="0"/>
    <x v="3"/>
    <x v="3"/>
    <x v="3"/>
    <x v="1"/>
  </r>
  <r>
    <x v="502"/>
    <x v="11"/>
    <x v="0"/>
    <n v="42.4"/>
    <n v="42.4"/>
    <x v="21"/>
    <x v="19"/>
    <s v="F"/>
    <x v="1"/>
    <x v="0"/>
    <x v="0"/>
    <x v="3"/>
    <x v="5"/>
    <x v="3"/>
    <x v="2"/>
  </r>
  <r>
    <x v="503"/>
    <x v="17"/>
    <x v="0"/>
    <n v="32.200000000000003"/>
    <n v="32.200000000000003"/>
    <x v="21"/>
    <x v="17"/>
    <s v="F"/>
    <x v="2"/>
    <x v="1"/>
    <x v="0"/>
    <x v="3"/>
    <x v="2"/>
    <x v="3"/>
    <x v="2"/>
  </r>
  <r>
    <x v="504"/>
    <x v="6"/>
    <x v="1"/>
    <n v="41.5"/>
    <n v="83"/>
    <x v="21"/>
    <x v="17"/>
    <s v="F"/>
    <x v="0"/>
    <x v="2"/>
    <x v="0"/>
    <x v="3"/>
    <x v="2"/>
    <x v="3"/>
    <x v="2"/>
  </r>
  <r>
    <x v="505"/>
    <x v="16"/>
    <x v="11"/>
    <n v="58.9"/>
    <n v="530.1"/>
    <x v="21"/>
    <x v="19"/>
    <s v="F"/>
    <x v="3"/>
    <x v="0"/>
    <x v="0"/>
    <x v="3"/>
    <x v="5"/>
    <x v="3"/>
    <x v="2"/>
  </r>
  <r>
    <x v="506"/>
    <x v="2"/>
    <x v="0"/>
    <n v="57.1"/>
    <n v="57.1"/>
    <x v="21"/>
    <x v="17"/>
    <s v="F"/>
    <x v="1"/>
    <x v="0"/>
    <x v="0"/>
    <x v="3"/>
    <x v="2"/>
    <x v="3"/>
    <x v="2"/>
  </r>
  <r>
    <x v="507"/>
    <x v="6"/>
    <x v="0"/>
    <n v="57.2"/>
    <n v="57.2"/>
    <x v="21"/>
    <x v="25"/>
    <s v="M"/>
    <x v="1"/>
    <x v="0"/>
    <x v="0"/>
    <x v="3"/>
    <x v="1"/>
    <x v="3"/>
    <x v="1"/>
  </r>
  <r>
    <x v="508"/>
    <x v="8"/>
    <x v="1"/>
    <n v="35.1"/>
    <n v="70.2"/>
    <x v="21"/>
    <x v="23"/>
    <s v="M"/>
    <x v="1"/>
    <x v="0"/>
    <x v="0"/>
    <x v="6"/>
    <x v="3"/>
    <x v="3"/>
    <x v="1"/>
  </r>
  <r>
    <x v="509"/>
    <x v="1"/>
    <x v="0"/>
    <n v="52.1"/>
    <n v="52.1"/>
    <x v="21"/>
    <x v="25"/>
    <s v="F"/>
    <x v="4"/>
    <x v="1"/>
    <x v="0"/>
    <x v="8"/>
    <x v="1"/>
    <x v="3"/>
    <x v="2"/>
  </r>
  <r>
    <x v="510"/>
    <x v="13"/>
    <x v="2"/>
    <n v="59.8"/>
    <n v="179.39999999999998"/>
    <x v="21"/>
    <x v="25"/>
    <s v="F"/>
    <x v="4"/>
    <x v="1"/>
    <x v="0"/>
    <x v="8"/>
    <x v="1"/>
    <x v="3"/>
    <x v="2"/>
  </r>
  <r>
    <x v="511"/>
    <x v="3"/>
    <x v="12"/>
    <n v="83.3"/>
    <n v="333.2"/>
    <x v="21"/>
    <x v="24"/>
    <s v=""/>
    <x v="2"/>
    <x v="0"/>
    <x v="0"/>
    <x v="8"/>
    <x v="7"/>
    <x v="3"/>
    <x v="0"/>
  </r>
  <r>
    <x v="512"/>
    <x v="15"/>
    <x v="4"/>
    <n v="41.3"/>
    <n v="495.59999999999997"/>
    <x v="21"/>
    <x v="23"/>
    <s v="F"/>
    <x v="1"/>
    <x v="0"/>
    <x v="0"/>
    <x v="8"/>
    <x v="3"/>
    <x v="3"/>
    <x v="2"/>
  </r>
  <r>
    <x v="513"/>
    <x v="8"/>
    <x v="9"/>
    <n v="16"/>
    <n v="80"/>
    <x v="21"/>
    <x v="25"/>
    <s v="M"/>
    <x v="4"/>
    <x v="1"/>
    <x v="0"/>
    <x v="9"/>
    <x v="1"/>
    <x v="3"/>
    <x v="1"/>
  </r>
  <r>
    <x v="514"/>
    <x v="10"/>
    <x v="1"/>
    <n v="20.8"/>
    <n v="41.6"/>
    <x v="22"/>
    <x v="17"/>
    <s v="M"/>
    <x v="0"/>
    <x v="2"/>
    <x v="0"/>
    <x v="11"/>
    <x v="1"/>
    <x v="3"/>
    <x v="1"/>
  </r>
  <r>
    <x v="515"/>
    <x v="8"/>
    <x v="31"/>
    <n v="27.1"/>
    <n v="758.80000000000007"/>
    <x v="22"/>
    <x v="25"/>
    <s v=""/>
    <x v="3"/>
    <x v="2"/>
    <x v="0"/>
    <x v="11"/>
    <x v="3"/>
    <x v="3"/>
    <x v="0"/>
  </r>
  <r>
    <x v="516"/>
    <x v="10"/>
    <x v="1"/>
    <n v="38.9"/>
    <n v="77.8"/>
    <x v="22"/>
    <x v="17"/>
    <s v="F"/>
    <x v="0"/>
    <x v="0"/>
    <x v="0"/>
    <x v="18"/>
    <x v="1"/>
    <x v="3"/>
    <x v="2"/>
  </r>
  <r>
    <x v="517"/>
    <x v="0"/>
    <x v="1"/>
    <n v="10.8"/>
    <n v="21.6"/>
    <x v="22"/>
    <x v="19"/>
    <s v="F"/>
    <x v="1"/>
    <x v="2"/>
    <x v="0"/>
    <x v="45"/>
    <x v="2"/>
    <x v="3"/>
    <x v="2"/>
  </r>
  <r>
    <x v="518"/>
    <x v="4"/>
    <x v="15"/>
    <n v="48.4"/>
    <n v="629.19999999999993"/>
    <x v="22"/>
    <x v="22"/>
    <s v="F"/>
    <x v="0"/>
    <x v="0"/>
    <x v="0"/>
    <x v="21"/>
    <x v="5"/>
    <x v="3"/>
    <x v="2"/>
  </r>
  <r>
    <x v="519"/>
    <x v="4"/>
    <x v="2"/>
    <n v="29.2"/>
    <n v="87.6"/>
    <x v="22"/>
    <x v="19"/>
    <s v="F"/>
    <x v="1"/>
    <x v="1"/>
    <x v="0"/>
    <x v="2"/>
    <x v="2"/>
    <x v="3"/>
    <x v="2"/>
  </r>
  <r>
    <x v="520"/>
    <x v="4"/>
    <x v="1"/>
    <n v="25.1"/>
    <n v="50.2"/>
    <x v="22"/>
    <x v="25"/>
    <s v="M"/>
    <x v="0"/>
    <x v="1"/>
    <x v="0"/>
    <x v="2"/>
    <x v="3"/>
    <x v="3"/>
    <x v="1"/>
  </r>
  <r>
    <x v="521"/>
    <x v="7"/>
    <x v="2"/>
    <n v="65.599999999999994"/>
    <n v="196.79999999999998"/>
    <x v="22"/>
    <x v="23"/>
    <s v="F"/>
    <x v="2"/>
    <x v="1"/>
    <x v="0"/>
    <x v="3"/>
    <x v="7"/>
    <x v="3"/>
    <x v="2"/>
  </r>
  <r>
    <x v="522"/>
    <x v="2"/>
    <x v="1"/>
    <n v="57.3"/>
    <n v="114.6"/>
    <x v="22"/>
    <x v="23"/>
    <s v=""/>
    <x v="0"/>
    <x v="0"/>
    <x v="0"/>
    <x v="3"/>
    <x v="7"/>
    <x v="3"/>
    <x v="0"/>
  </r>
  <r>
    <x v="523"/>
    <x v="9"/>
    <x v="12"/>
    <n v="22.4"/>
    <n v="89.6"/>
    <x v="22"/>
    <x v="25"/>
    <s v="F"/>
    <x v="2"/>
    <x v="2"/>
    <x v="0"/>
    <x v="3"/>
    <x v="3"/>
    <x v="3"/>
    <x v="2"/>
  </r>
  <r>
    <x v="524"/>
    <x v="12"/>
    <x v="11"/>
    <n v="45.7"/>
    <n v="411.3"/>
    <x v="22"/>
    <x v="25"/>
    <s v="F"/>
    <x v="0"/>
    <x v="0"/>
    <x v="0"/>
    <x v="3"/>
    <x v="3"/>
    <x v="3"/>
    <x v="2"/>
  </r>
  <r>
    <x v="525"/>
    <x v="8"/>
    <x v="1"/>
    <n v="29.3"/>
    <n v="58.6"/>
    <x v="22"/>
    <x v="25"/>
    <s v="M"/>
    <x v="1"/>
    <x v="0"/>
    <x v="0"/>
    <x v="3"/>
    <x v="3"/>
    <x v="3"/>
    <x v="1"/>
  </r>
  <r>
    <x v="526"/>
    <x v="18"/>
    <x v="32"/>
    <n v="74"/>
    <n v="1628"/>
    <x v="22"/>
    <x v="25"/>
    <s v="M"/>
    <x v="0"/>
    <x v="2"/>
    <x v="0"/>
    <x v="3"/>
    <x v="3"/>
    <x v="3"/>
    <x v="1"/>
  </r>
  <r>
    <x v="527"/>
    <x v="14"/>
    <x v="1"/>
    <n v="39.200000000000003"/>
    <n v="78.400000000000006"/>
    <x v="22"/>
    <x v="17"/>
    <s v="F"/>
    <x v="1"/>
    <x v="0"/>
    <x v="0"/>
    <x v="3"/>
    <x v="1"/>
    <x v="3"/>
    <x v="2"/>
  </r>
  <r>
    <x v="528"/>
    <x v="4"/>
    <x v="14"/>
    <n v="62.7"/>
    <n v="1065.9000000000001"/>
    <x v="22"/>
    <x v="25"/>
    <s v="F"/>
    <x v="2"/>
    <x v="1"/>
    <x v="0"/>
    <x v="3"/>
    <x v="3"/>
    <x v="3"/>
    <x v="2"/>
  </r>
  <r>
    <x v="529"/>
    <x v="10"/>
    <x v="1"/>
    <n v="60.1"/>
    <n v="120.2"/>
    <x v="22"/>
    <x v="25"/>
    <s v="F"/>
    <x v="3"/>
    <x v="0"/>
    <x v="0"/>
    <x v="3"/>
    <x v="3"/>
    <x v="3"/>
    <x v="2"/>
  </r>
  <r>
    <x v="530"/>
    <x v="0"/>
    <x v="12"/>
    <n v="11.2"/>
    <n v="44.8"/>
    <x v="22"/>
    <x v="25"/>
    <s v="F"/>
    <x v="3"/>
    <x v="1"/>
    <x v="0"/>
    <x v="3"/>
    <x v="3"/>
    <x v="3"/>
    <x v="2"/>
  </r>
  <r>
    <x v="531"/>
    <x v="8"/>
    <x v="1"/>
    <n v="22.9"/>
    <n v="45.8"/>
    <x v="22"/>
    <x v="25"/>
    <s v="F"/>
    <x v="0"/>
    <x v="0"/>
    <x v="0"/>
    <x v="6"/>
    <x v="3"/>
    <x v="3"/>
    <x v="2"/>
  </r>
  <r>
    <x v="532"/>
    <x v="1"/>
    <x v="1"/>
    <n v="37.6"/>
    <n v="75.2"/>
    <x v="22"/>
    <x v="19"/>
    <s v="F"/>
    <x v="0"/>
    <x v="0"/>
    <x v="0"/>
    <x v="6"/>
    <x v="2"/>
    <x v="3"/>
    <x v="2"/>
  </r>
  <r>
    <x v="533"/>
    <x v="6"/>
    <x v="0"/>
    <n v="42.4"/>
    <n v="42.4"/>
    <x v="22"/>
    <x v="25"/>
    <s v="F"/>
    <x v="3"/>
    <x v="2"/>
    <x v="0"/>
    <x v="6"/>
    <x v="3"/>
    <x v="3"/>
    <x v="2"/>
  </r>
  <r>
    <x v="534"/>
    <x v="8"/>
    <x v="1"/>
    <n v="19.600000000000001"/>
    <n v="39.200000000000003"/>
    <x v="22"/>
    <x v="22"/>
    <s v="F"/>
    <x v="2"/>
    <x v="0"/>
    <x v="0"/>
    <x v="7"/>
    <x v="5"/>
    <x v="3"/>
    <x v="2"/>
  </r>
  <r>
    <x v="535"/>
    <x v="9"/>
    <x v="0"/>
    <n v="90.5"/>
    <n v="90.5"/>
    <x v="22"/>
    <x v="19"/>
    <s v="F"/>
    <x v="2"/>
    <x v="0"/>
    <x v="0"/>
    <x v="7"/>
    <x v="2"/>
    <x v="3"/>
    <x v="2"/>
  </r>
  <r>
    <x v="536"/>
    <x v="16"/>
    <x v="5"/>
    <n v="33.9"/>
    <n v="372.9"/>
    <x v="22"/>
    <x v="25"/>
    <s v="M"/>
    <x v="2"/>
    <x v="1"/>
    <x v="0"/>
    <x v="7"/>
    <x v="3"/>
    <x v="3"/>
    <x v="1"/>
  </r>
  <r>
    <x v="537"/>
    <x v="0"/>
    <x v="1"/>
    <n v="32.799999999999997"/>
    <n v="65.599999999999994"/>
    <x v="22"/>
    <x v="17"/>
    <s v="F"/>
    <x v="4"/>
    <x v="4"/>
    <x v="0"/>
    <x v="8"/>
    <x v="1"/>
    <x v="3"/>
    <x v="2"/>
  </r>
  <r>
    <x v="538"/>
    <x v="15"/>
    <x v="0"/>
    <n v="49.9"/>
    <n v="49.9"/>
    <x v="22"/>
    <x v="25"/>
    <s v="M"/>
    <x v="3"/>
    <x v="1"/>
    <x v="0"/>
    <x v="8"/>
    <x v="3"/>
    <x v="3"/>
    <x v="1"/>
  </r>
  <r>
    <x v="539"/>
    <x v="7"/>
    <x v="9"/>
    <n v="79.2"/>
    <n v="396"/>
    <x v="22"/>
    <x v="25"/>
    <s v="F"/>
    <x v="4"/>
    <x v="0"/>
    <x v="0"/>
    <x v="8"/>
    <x v="3"/>
    <x v="3"/>
    <x v="2"/>
  </r>
  <r>
    <x v="540"/>
    <x v="8"/>
    <x v="27"/>
    <n v="19.5"/>
    <n v="312"/>
    <x v="22"/>
    <x v="17"/>
    <s v="M"/>
    <x v="3"/>
    <x v="2"/>
    <x v="0"/>
    <x v="8"/>
    <x v="1"/>
    <x v="3"/>
    <x v="1"/>
  </r>
  <r>
    <x v="541"/>
    <x v="8"/>
    <x v="12"/>
    <n v="18"/>
    <n v="72"/>
    <x v="22"/>
    <x v="25"/>
    <s v="M"/>
    <x v="1"/>
    <x v="0"/>
    <x v="0"/>
    <x v="10"/>
    <x v="3"/>
    <x v="3"/>
    <x v="1"/>
  </r>
  <r>
    <x v="542"/>
    <x v="9"/>
    <x v="2"/>
    <n v="45.9"/>
    <n v="137.69999999999999"/>
    <x v="22"/>
    <x v="17"/>
    <s v="F"/>
    <x v="1"/>
    <x v="1"/>
    <x v="0"/>
    <x v="10"/>
    <x v="1"/>
    <x v="3"/>
    <x v="2"/>
  </r>
  <r>
    <x v="543"/>
    <x v="11"/>
    <x v="0"/>
    <n v="41.2"/>
    <n v="41.2"/>
    <x v="22"/>
    <x v="17"/>
    <s v="F"/>
    <x v="1"/>
    <x v="2"/>
    <x v="0"/>
    <x v="11"/>
    <x v="1"/>
    <x v="3"/>
    <x v="2"/>
  </r>
  <r>
    <x v="544"/>
    <x v="2"/>
    <x v="7"/>
    <n v="167.2"/>
    <n v="1672"/>
    <x v="22"/>
    <x v="17"/>
    <s v="F"/>
    <x v="2"/>
    <x v="2"/>
    <x v="0"/>
    <x v="32"/>
    <x v="1"/>
    <x v="3"/>
    <x v="2"/>
  </r>
  <r>
    <x v="545"/>
    <x v="6"/>
    <x v="17"/>
    <n v="74.5"/>
    <n v="2235"/>
    <x v="23"/>
    <x v="22"/>
    <s v="F"/>
    <x v="1"/>
    <x v="2"/>
    <x v="0"/>
    <x v="38"/>
    <x v="2"/>
    <x v="3"/>
    <x v="2"/>
  </r>
  <r>
    <x v="546"/>
    <x v="7"/>
    <x v="12"/>
    <n v="39.299999999999997"/>
    <n v="157.19999999999999"/>
    <x v="23"/>
    <x v="17"/>
    <s v=""/>
    <x v="2"/>
    <x v="0"/>
    <x v="0"/>
    <x v="19"/>
    <x v="3"/>
    <x v="3"/>
    <x v="0"/>
  </r>
  <r>
    <x v="547"/>
    <x v="9"/>
    <x v="0"/>
    <n v="68.5"/>
    <n v="68.5"/>
    <x v="23"/>
    <x v="22"/>
    <s v="M"/>
    <x v="1"/>
    <x v="2"/>
    <x v="0"/>
    <x v="12"/>
    <x v="2"/>
    <x v="3"/>
    <x v="1"/>
  </r>
  <r>
    <x v="548"/>
    <x v="0"/>
    <x v="2"/>
    <n v="22.5"/>
    <n v="67.5"/>
    <x v="23"/>
    <x v="25"/>
    <s v="F"/>
    <x v="4"/>
    <x v="0"/>
    <x v="0"/>
    <x v="13"/>
    <x v="7"/>
    <x v="3"/>
    <x v="2"/>
  </r>
  <r>
    <x v="549"/>
    <x v="1"/>
    <x v="0"/>
    <n v="48"/>
    <n v="48"/>
    <x v="23"/>
    <x v="17"/>
    <s v="O"/>
    <x v="4"/>
    <x v="1"/>
    <x v="0"/>
    <x v="46"/>
    <x v="3"/>
    <x v="3"/>
    <x v="3"/>
  </r>
  <r>
    <x v="550"/>
    <x v="6"/>
    <x v="0"/>
    <n v="94"/>
    <n v="94"/>
    <x v="23"/>
    <x v="17"/>
    <s v="M"/>
    <x v="3"/>
    <x v="1"/>
    <x v="0"/>
    <x v="1"/>
    <x v="3"/>
    <x v="3"/>
    <x v="1"/>
  </r>
  <r>
    <x v="551"/>
    <x v="8"/>
    <x v="2"/>
    <n v="21.9"/>
    <n v="65.699999999999989"/>
    <x v="23"/>
    <x v="17"/>
    <s v="F"/>
    <x v="0"/>
    <x v="0"/>
    <x v="0"/>
    <x v="44"/>
    <x v="3"/>
    <x v="3"/>
    <x v="2"/>
  </r>
  <r>
    <x v="552"/>
    <x v="6"/>
    <x v="3"/>
    <n v="64.900000000000006"/>
    <n v="454.30000000000007"/>
    <x v="23"/>
    <x v="17"/>
    <s v="F"/>
    <x v="0"/>
    <x v="0"/>
    <x v="0"/>
    <x v="3"/>
    <x v="3"/>
    <x v="3"/>
    <x v="2"/>
  </r>
  <r>
    <x v="553"/>
    <x v="12"/>
    <x v="0"/>
    <n v="52.9"/>
    <n v="52.9"/>
    <x v="23"/>
    <x v="25"/>
    <s v="F"/>
    <x v="1"/>
    <x v="1"/>
    <x v="0"/>
    <x v="3"/>
    <x v="7"/>
    <x v="3"/>
    <x v="2"/>
  </r>
  <r>
    <x v="554"/>
    <x v="8"/>
    <x v="2"/>
    <n v="25.5"/>
    <n v="76.5"/>
    <x v="23"/>
    <x v="17"/>
    <s v="F"/>
    <x v="1"/>
    <x v="2"/>
    <x v="0"/>
    <x v="3"/>
    <x v="3"/>
    <x v="3"/>
    <x v="2"/>
  </r>
  <r>
    <x v="555"/>
    <x v="6"/>
    <x v="2"/>
    <n v="51.9"/>
    <n v="155.69999999999999"/>
    <x v="23"/>
    <x v="17"/>
    <s v="F"/>
    <x v="3"/>
    <x v="0"/>
    <x v="0"/>
    <x v="3"/>
    <x v="3"/>
    <x v="3"/>
    <x v="2"/>
  </r>
  <r>
    <x v="556"/>
    <x v="5"/>
    <x v="0"/>
    <n v="46.3"/>
    <n v="46.3"/>
    <x v="23"/>
    <x v="22"/>
    <s v="F"/>
    <x v="4"/>
    <x v="0"/>
    <x v="0"/>
    <x v="3"/>
    <x v="2"/>
    <x v="3"/>
    <x v="2"/>
  </r>
  <r>
    <x v="557"/>
    <x v="6"/>
    <x v="1"/>
    <n v="68.2"/>
    <n v="136.4"/>
    <x v="23"/>
    <x v="19"/>
    <s v="F"/>
    <x v="3"/>
    <x v="0"/>
    <x v="0"/>
    <x v="3"/>
    <x v="1"/>
    <x v="3"/>
    <x v="2"/>
  </r>
  <r>
    <x v="558"/>
    <x v="1"/>
    <x v="0"/>
    <n v="40.299999999999997"/>
    <n v="40.299999999999997"/>
    <x v="23"/>
    <x v="17"/>
    <s v="M"/>
    <x v="0"/>
    <x v="1"/>
    <x v="0"/>
    <x v="3"/>
    <x v="3"/>
    <x v="3"/>
    <x v="1"/>
  </r>
  <r>
    <x v="559"/>
    <x v="2"/>
    <x v="2"/>
    <n v="91.3"/>
    <n v="273.89999999999998"/>
    <x v="23"/>
    <x v="28"/>
    <s v="M"/>
    <x v="0"/>
    <x v="2"/>
    <x v="0"/>
    <x v="6"/>
    <x v="0"/>
    <x v="3"/>
    <x v="1"/>
  </r>
  <r>
    <x v="560"/>
    <x v="0"/>
    <x v="2"/>
    <n v="11.9"/>
    <n v="35.700000000000003"/>
    <x v="23"/>
    <x v="17"/>
    <s v="F"/>
    <x v="0"/>
    <x v="1"/>
    <x v="0"/>
    <x v="6"/>
    <x v="3"/>
    <x v="3"/>
    <x v="2"/>
  </r>
  <r>
    <x v="561"/>
    <x v="2"/>
    <x v="1"/>
    <n v="63.5"/>
    <n v="127"/>
    <x v="23"/>
    <x v="19"/>
    <s v="M"/>
    <x v="1"/>
    <x v="0"/>
    <x v="0"/>
    <x v="6"/>
    <x v="1"/>
    <x v="3"/>
    <x v="1"/>
  </r>
  <r>
    <x v="562"/>
    <x v="4"/>
    <x v="1"/>
    <n v="27.1"/>
    <n v="54.2"/>
    <x v="23"/>
    <x v="22"/>
    <s v="M"/>
    <x v="2"/>
    <x v="2"/>
    <x v="0"/>
    <x v="6"/>
    <x v="2"/>
    <x v="3"/>
    <x v="1"/>
  </r>
  <r>
    <x v="563"/>
    <x v="1"/>
    <x v="1"/>
    <n v="82.1"/>
    <n v="164.2"/>
    <x v="24"/>
    <x v="29"/>
    <s v="M"/>
    <x v="1"/>
    <x v="1"/>
    <x v="0"/>
    <x v="7"/>
    <x v="2"/>
    <x v="3"/>
    <x v="1"/>
  </r>
  <r>
    <x v="564"/>
    <x v="3"/>
    <x v="9"/>
    <n v="42.9"/>
    <n v="214.5"/>
    <x v="24"/>
    <x v="22"/>
    <s v="F"/>
    <x v="1"/>
    <x v="0"/>
    <x v="0"/>
    <x v="8"/>
    <x v="1"/>
    <x v="3"/>
    <x v="2"/>
  </r>
  <r>
    <x v="565"/>
    <x v="8"/>
    <x v="5"/>
    <n v="37.9"/>
    <n v="416.9"/>
    <x v="24"/>
    <x v="30"/>
    <s v="M"/>
    <x v="0"/>
    <x v="0"/>
    <x v="0"/>
    <x v="8"/>
    <x v="6"/>
    <x v="3"/>
    <x v="1"/>
  </r>
  <r>
    <x v="566"/>
    <x v="0"/>
    <x v="0"/>
    <n v="22.4"/>
    <n v="22.4"/>
    <x v="24"/>
    <x v="19"/>
    <s v="F"/>
    <x v="0"/>
    <x v="1"/>
    <x v="0"/>
    <x v="17"/>
    <x v="3"/>
    <x v="3"/>
    <x v="2"/>
  </r>
  <r>
    <x v="567"/>
    <x v="2"/>
    <x v="15"/>
    <n v="79.900000000000006"/>
    <n v="1038.7"/>
    <x v="24"/>
    <x v="31"/>
    <s v="F"/>
    <x v="3"/>
    <x v="1"/>
    <x v="0"/>
    <x v="11"/>
    <x v="10"/>
    <x v="3"/>
    <x v="2"/>
  </r>
  <r>
    <x v="568"/>
    <x v="1"/>
    <x v="0"/>
    <n v="70.599999999999994"/>
    <n v="70.599999999999994"/>
    <x v="24"/>
    <x v="29"/>
    <s v="F"/>
    <x v="0"/>
    <x v="1"/>
    <x v="0"/>
    <x v="11"/>
    <x v="2"/>
    <x v="3"/>
    <x v="2"/>
  </r>
  <r>
    <x v="569"/>
    <x v="6"/>
    <x v="0"/>
    <n v="49.5"/>
    <n v="49.5"/>
    <x v="24"/>
    <x v="22"/>
    <s v="M"/>
    <x v="0"/>
    <x v="0"/>
    <x v="0"/>
    <x v="13"/>
    <x v="1"/>
    <x v="3"/>
    <x v="1"/>
  </r>
  <r>
    <x v="570"/>
    <x v="2"/>
    <x v="1"/>
    <n v="96.6"/>
    <n v="193.2"/>
    <x v="24"/>
    <x v="22"/>
    <s v="M"/>
    <x v="0"/>
    <x v="0"/>
    <x v="0"/>
    <x v="21"/>
    <x v="1"/>
    <x v="3"/>
    <x v="1"/>
  </r>
  <r>
    <x v="571"/>
    <x v="6"/>
    <x v="1"/>
    <n v="52.8"/>
    <n v="105.6"/>
    <x v="24"/>
    <x v="19"/>
    <s v="F"/>
    <x v="1"/>
    <x v="1"/>
    <x v="0"/>
    <x v="21"/>
    <x v="3"/>
    <x v="3"/>
    <x v="2"/>
  </r>
  <r>
    <x v="572"/>
    <x v="2"/>
    <x v="0"/>
    <n v="101.7"/>
    <n v="101.7"/>
    <x v="24"/>
    <x v="19"/>
    <s v="M"/>
    <x v="0"/>
    <x v="0"/>
    <x v="0"/>
    <x v="1"/>
    <x v="3"/>
    <x v="3"/>
    <x v="1"/>
  </r>
  <r>
    <x v="573"/>
    <x v="4"/>
    <x v="9"/>
    <n v="26.9"/>
    <n v="134.5"/>
    <x v="24"/>
    <x v="26"/>
    <s v="F"/>
    <x v="1"/>
    <x v="1"/>
    <x v="0"/>
    <x v="22"/>
    <x v="0"/>
    <x v="3"/>
    <x v="2"/>
  </r>
  <r>
    <x v="574"/>
    <x v="2"/>
    <x v="12"/>
    <n v="211"/>
    <n v="844"/>
    <x v="24"/>
    <x v="17"/>
    <s v="F"/>
    <x v="1"/>
    <x v="1"/>
    <x v="0"/>
    <x v="3"/>
    <x v="7"/>
    <x v="3"/>
    <x v="2"/>
  </r>
  <r>
    <x v="575"/>
    <x v="0"/>
    <x v="12"/>
    <n v="21.1"/>
    <n v="84.4"/>
    <x v="24"/>
    <x v="29"/>
    <s v="M"/>
    <x v="4"/>
    <x v="0"/>
    <x v="0"/>
    <x v="3"/>
    <x v="2"/>
    <x v="3"/>
    <x v="1"/>
  </r>
  <r>
    <x v="576"/>
    <x v="10"/>
    <x v="0"/>
    <n v="26.6"/>
    <n v="26.6"/>
    <x v="24"/>
    <x v="22"/>
    <s v="M"/>
    <x v="0"/>
    <x v="4"/>
    <x v="0"/>
    <x v="3"/>
    <x v="1"/>
    <x v="3"/>
    <x v="1"/>
  </r>
  <r>
    <x v="577"/>
    <x v="12"/>
    <x v="12"/>
    <n v="51.2"/>
    <n v="204.8"/>
    <x v="24"/>
    <x v="19"/>
    <s v="F"/>
    <x v="3"/>
    <x v="0"/>
    <x v="0"/>
    <x v="47"/>
    <x v="3"/>
    <x v="3"/>
    <x v="2"/>
  </r>
  <r>
    <x v="578"/>
    <x v="0"/>
    <x v="9"/>
    <n v="10.6"/>
    <n v="53"/>
    <x v="24"/>
    <x v="28"/>
    <s v="F"/>
    <x v="0"/>
    <x v="0"/>
    <x v="0"/>
    <x v="8"/>
    <x v="5"/>
    <x v="3"/>
    <x v="2"/>
  </r>
  <r>
    <x v="579"/>
    <x v="6"/>
    <x v="2"/>
    <n v="43.4"/>
    <n v="130.19999999999999"/>
    <x v="24"/>
    <x v="29"/>
    <s v="F"/>
    <x v="4"/>
    <x v="0"/>
    <x v="0"/>
    <x v="8"/>
    <x v="2"/>
    <x v="3"/>
    <x v="2"/>
  </r>
  <r>
    <x v="580"/>
    <x v="12"/>
    <x v="0"/>
    <n v="80"/>
    <n v="80"/>
    <x v="24"/>
    <x v="17"/>
    <s v="F"/>
    <x v="0"/>
    <x v="2"/>
    <x v="0"/>
    <x v="8"/>
    <x v="7"/>
    <x v="3"/>
    <x v="2"/>
  </r>
  <r>
    <x v="581"/>
    <x v="10"/>
    <x v="12"/>
    <n v="64.7"/>
    <n v="258.8"/>
    <x v="24"/>
    <x v="22"/>
    <s v="F"/>
    <x v="1"/>
    <x v="4"/>
    <x v="0"/>
    <x v="8"/>
    <x v="1"/>
    <x v="3"/>
    <x v="2"/>
  </r>
  <r>
    <x v="582"/>
    <x v="8"/>
    <x v="5"/>
    <n v="26.3"/>
    <n v="289.3"/>
    <x v="25"/>
    <x v="19"/>
    <s v="F"/>
    <x v="4"/>
    <x v="1"/>
    <x v="0"/>
    <x v="26"/>
    <x v="7"/>
    <x v="4"/>
    <x v="2"/>
  </r>
  <r>
    <x v="583"/>
    <x v="10"/>
    <x v="0"/>
    <n v="28.5"/>
    <n v="28.5"/>
    <x v="25"/>
    <x v="19"/>
    <s v="M"/>
    <x v="0"/>
    <x v="1"/>
    <x v="0"/>
    <x v="9"/>
    <x v="7"/>
    <x v="4"/>
    <x v="1"/>
  </r>
  <r>
    <x v="584"/>
    <x v="17"/>
    <x v="0"/>
    <n v="47.8"/>
    <n v="47.8"/>
    <x v="25"/>
    <x v="29"/>
    <s v="F"/>
    <x v="0"/>
    <x v="1"/>
    <x v="0"/>
    <x v="9"/>
    <x v="1"/>
    <x v="4"/>
    <x v="2"/>
  </r>
  <r>
    <x v="585"/>
    <x v="10"/>
    <x v="2"/>
    <n v="42.8"/>
    <n v="128.39999999999998"/>
    <x v="25"/>
    <x v="28"/>
    <s v="F"/>
    <x v="4"/>
    <x v="1"/>
    <x v="0"/>
    <x v="11"/>
    <x v="2"/>
    <x v="4"/>
    <x v="2"/>
  </r>
  <r>
    <x v="586"/>
    <x v="6"/>
    <x v="9"/>
    <n v="46.8"/>
    <n v="234"/>
    <x v="25"/>
    <x v="27"/>
    <s v="F"/>
    <x v="1"/>
    <x v="2"/>
    <x v="0"/>
    <x v="11"/>
    <x v="0"/>
    <x v="4"/>
    <x v="2"/>
  </r>
  <r>
    <x v="587"/>
    <x v="1"/>
    <x v="7"/>
    <n v="64.099999999999994"/>
    <n v="641"/>
    <x v="25"/>
    <x v="22"/>
    <s v="M"/>
    <x v="1"/>
    <x v="0"/>
    <x v="0"/>
    <x v="11"/>
    <x v="3"/>
    <x v="4"/>
    <x v="1"/>
  </r>
  <r>
    <x v="588"/>
    <x v="2"/>
    <x v="0"/>
    <n v="89.1"/>
    <n v="89.1"/>
    <x v="25"/>
    <x v="22"/>
    <s v="F"/>
    <x v="0"/>
    <x v="1"/>
    <x v="0"/>
    <x v="20"/>
    <x v="3"/>
    <x v="4"/>
    <x v="2"/>
  </r>
  <r>
    <x v="589"/>
    <x v="2"/>
    <x v="2"/>
    <n v="83.1"/>
    <n v="249.29999999999998"/>
    <x v="25"/>
    <x v="22"/>
    <s v="F"/>
    <x v="2"/>
    <x v="1"/>
    <x v="0"/>
    <x v="13"/>
    <x v="3"/>
    <x v="4"/>
    <x v="2"/>
  </r>
  <r>
    <x v="590"/>
    <x v="8"/>
    <x v="2"/>
    <n v="40.9"/>
    <n v="122.69999999999999"/>
    <x v="25"/>
    <x v="22"/>
    <s v="M"/>
    <x v="0"/>
    <x v="0"/>
    <x v="0"/>
    <x v="1"/>
    <x v="3"/>
    <x v="4"/>
    <x v="1"/>
  </r>
  <r>
    <x v="591"/>
    <x v="2"/>
    <x v="1"/>
    <n v="125.7"/>
    <n v="251.4"/>
    <x v="25"/>
    <x v="22"/>
    <s v="F"/>
    <x v="3"/>
    <x v="0"/>
    <x v="0"/>
    <x v="2"/>
    <x v="3"/>
    <x v="4"/>
    <x v="2"/>
  </r>
  <r>
    <x v="592"/>
    <x v="3"/>
    <x v="1"/>
    <n v="30.9"/>
    <n v="61.8"/>
    <x v="25"/>
    <x v="19"/>
    <s v="F"/>
    <x v="2"/>
    <x v="2"/>
    <x v="0"/>
    <x v="22"/>
    <x v="7"/>
    <x v="4"/>
    <x v="2"/>
  </r>
  <r>
    <x v="593"/>
    <x v="8"/>
    <x v="1"/>
    <n v="18.3"/>
    <n v="36.6"/>
    <x v="25"/>
    <x v="22"/>
    <s v="F"/>
    <x v="1"/>
    <x v="0"/>
    <x v="0"/>
    <x v="3"/>
    <x v="3"/>
    <x v="4"/>
    <x v="2"/>
  </r>
  <r>
    <x v="594"/>
    <x v="4"/>
    <x v="1"/>
    <n v="56.5"/>
    <n v="113"/>
    <x v="25"/>
    <x v="26"/>
    <s v="M"/>
    <x v="2"/>
    <x v="2"/>
    <x v="0"/>
    <x v="3"/>
    <x v="5"/>
    <x v="4"/>
    <x v="1"/>
  </r>
  <r>
    <x v="595"/>
    <x v="10"/>
    <x v="3"/>
    <n v="29.9"/>
    <n v="209.29999999999998"/>
    <x v="25"/>
    <x v="29"/>
    <s v="M"/>
    <x v="4"/>
    <x v="2"/>
    <x v="0"/>
    <x v="3"/>
    <x v="1"/>
    <x v="4"/>
    <x v="1"/>
  </r>
  <r>
    <x v="596"/>
    <x v="5"/>
    <x v="1"/>
    <n v="50.4"/>
    <n v="100.8"/>
    <x v="25"/>
    <x v="22"/>
    <s v="F"/>
    <x v="2"/>
    <x v="0"/>
    <x v="0"/>
    <x v="3"/>
    <x v="3"/>
    <x v="4"/>
    <x v="2"/>
  </r>
  <r>
    <x v="597"/>
    <x v="2"/>
    <x v="0"/>
    <n v="85.8"/>
    <n v="85.8"/>
    <x v="25"/>
    <x v="19"/>
    <s v="F"/>
    <x v="2"/>
    <x v="2"/>
    <x v="0"/>
    <x v="3"/>
    <x v="7"/>
    <x v="4"/>
    <x v="2"/>
  </r>
  <r>
    <x v="598"/>
    <x v="4"/>
    <x v="27"/>
    <n v="66.599999999999994"/>
    <n v="1065.5999999999999"/>
    <x v="25"/>
    <x v="29"/>
    <s v="M"/>
    <x v="1"/>
    <x v="0"/>
    <x v="0"/>
    <x v="3"/>
    <x v="1"/>
    <x v="4"/>
    <x v="1"/>
  </r>
  <r>
    <x v="599"/>
    <x v="6"/>
    <x v="12"/>
    <n v="70.3"/>
    <n v="281.2"/>
    <x v="25"/>
    <x v="22"/>
    <s v="F"/>
    <x v="0"/>
    <x v="1"/>
    <x v="0"/>
    <x v="3"/>
    <x v="3"/>
    <x v="4"/>
    <x v="2"/>
  </r>
  <r>
    <x v="600"/>
    <x v="8"/>
    <x v="12"/>
    <n v="31"/>
    <n v="124"/>
    <x v="25"/>
    <x v="28"/>
    <s v="M"/>
    <x v="0"/>
    <x v="2"/>
    <x v="0"/>
    <x v="3"/>
    <x v="2"/>
    <x v="4"/>
    <x v="1"/>
  </r>
  <r>
    <x v="601"/>
    <x v="7"/>
    <x v="13"/>
    <n v="81.599999999999994"/>
    <n v="489.59999999999997"/>
    <x v="25"/>
    <x v="22"/>
    <s v="F"/>
    <x v="1"/>
    <x v="1"/>
    <x v="0"/>
    <x v="37"/>
    <x v="3"/>
    <x v="4"/>
    <x v="2"/>
  </r>
  <r>
    <x v="602"/>
    <x v="1"/>
    <x v="30"/>
    <n v="58.3"/>
    <n v="1457.5"/>
    <x v="25"/>
    <x v="22"/>
    <s v="F"/>
    <x v="0"/>
    <x v="0"/>
    <x v="0"/>
    <x v="16"/>
    <x v="3"/>
    <x v="4"/>
    <x v="2"/>
  </r>
  <r>
    <x v="603"/>
    <x v="1"/>
    <x v="12"/>
    <n v="35.1"/>
    <n v="140.4"/>
    <x v="25"/>
    <x v="29"/>
    <s v="M"/>
    <x v="0"/>
    <x v="2"/>
    <x v="0"/>
    <x v="8"/>
    <x v="1"/>
    <x v="4"/>
    <x v="1"/>
  </r>
  <r>
    <x v="604"/>
    <x v="2"/>
    <x v="0"/>
    <n v="80.2"/>
    <n v="80.2"/>
    <x v="25"/>
    <x v="22"/>
    <s v="M"/>
    <x v="3"/>
    <x v="2"/>
    <x v="0"/>
    <x v="8"/>
    <x v="3"/>
    <x v="4"/>
    <x v="1"/>
  </r>
  <r>
    <x v="605"/>
    <x v="14"/>
    <x v="2"/>
    <n v="39.200000000000003"/>
    <n v="117.60000000000001"/>
    <x v="25"/>
    <x v="29"/>
    <s v="F"/>
    <x v="1"/>
    <x v="0"/>
    <x v="0"/>
    <x v="9"/>
    <x v="1"/>
    <x v="4"/>
    <x v="2"/>
  </r>
  <r>
    <x v="606"/>
    <x v="0"/>
    <x v="1"/>
    <n v="15.4"/>
    <n v="30.8"/>
    <x v="25"/>
    <x v="19"/>
    <s v="F"/>
    <x v="3"/>
    <x v="0"/>
    <x v="0"/>
    <x v="48"/>
    <x v="7"/>
    <x v="4"/>
    <x v="2"/>
  </r>
  <r>
    <x v="607"/>
    <x v="3"/>
    <x v="2"/>
    <n v="65.400000000000006"/>
    <n v="196.20000000000002"/>
    <x v="25"/>
    <x v="28"/>
    <s v="M"/>
    <x v="3"/>
    <x v="0"/>
    <x v="0"/>
    <x v="18"/>
    <x v="2"/>
    <x v="4"/>
    <x v="1"/>
  </r>
  <r>
    <x v="608"/>
    <x v="1"/>
    <x v="8"/>
    <n v="63.2"/>
    <n v="505.6"/>
    <x v="25"/>
    <x v="29"/>
    <s v="F"/>
    <x v="1"/>
    <x v="0"/>
    <x v="0"/>
    <x v="19"/>
    <x v="1"/>
    <x v="4"/>
    <x v="2"/>
  </r>
  <r>
    <x v="609"/>
    <x v="1"/>
    <x v="13"/>
    <n v="35.700000000000003"/>
    <n v="214.20000000000002"/>
    <x v="25"/>
    <x v="26"/>
    <s v="F"/>
    <x v="4"/>
    <x v="1"/>
    <x v="0"/>
    <x v="19"/>
    <x v="5"/>
    <x v="4"/>
    <x v="2"/>
  </r>
  <r>
    <x v="610"/>
    <x v="0"/>
    <x v="28"/>
    <n v="26.2"/>
    <n v="524"/>
    <x v="25"/>
    <x v="22"/>
    <s v="F"/>
    <x v="3"/>
    <x v="0"/>
    <x v="0"/>
    <x v="21"/>
    <x v="3"/>
    <x v="4"/>
    <x v="2"/>
  </r>
  <r>
    <x v="611"/>
    <x v="7"/>
    <x v="1"/>
    <n v="31"/>
    <n v="62"/>
    <x v="25"/>
    <x v="22"/>
    <s v="F"/>
    <x v="0"/>
    <x v="2"/>
    <x v="0"/>
    <x v="1"/>
    <x v="3"/>
    <x v="4"/>
    <x v="2"/>
  </r>
  <r>
    <x v="612"/>
    <x v="8"/>
    <x v="12"/>
    <n v="37.700000000000003"/>
    <n v="150.80000000000001"/>
    <x v="25"/>
    <x v="22"/>
    <s v="F"/>
    <x v="1"/>
    <x v="0"/>
    <x v="0"/>
    <x v="22"/>
    <x v="3"/>
    <x v="4"/>
    <x v="2"/>
  </r>
  <r>
    <x v="613"/>
    <x v="10"/>
    <x v="33"/>
    <n v="43.6"/>
    <n v="1482.4"/>
    <x v="25"/>
    <x v="29"/>
    <s v="F"/>
    <x v="4"/>
    <x v="1"/>
    <x v="0"/>
    <x v="3"/>
    <x v="1"/>
    <x v="4"/>
    <x v="2"/>
  </r>
  <r>
    <x v="614"/>
    <x v="9"/>
    <x v="12"/>
    <n v="26.5"/>
    <n v="106"/>
    <x v="25"/>
    <x v="29"/>
    <s v="M"/>
    <x v="0"/>
    <x v="4"/>
    <x v="0"/>
    <x v="3"/>
    <x v="1"/>
    <x v="4"/>
    <x v="1"/>
  </r>
  <r>
    <x v="615"/>
    <x v="0"/>
    <x v="1"/>
    <n v="34.6"/>
    <n v="69.2"/>
    <x v="25"/>
    <x v="22"/>
    <s v="M"/>
    <x v="4"/>
    <x v="1"/>
    <x v="0"/>
    <x v="3"/>
    <x v="3"/>
    <x v="4"/>
    <x v="1"/>
  </r>
  <r>
    <x v="616"/>
    <x v="8"/>
    <x v="1"/>
    <n v="58.2"/>
    <n v="116.4"/>
    <x v="25"/>
    <x v="22"/>
    <s v="M"/>
    <x v="2"/>
    <x v="2"/>
    <x v="0"/>
    <x v="3"/>
    <x v="3"/>
    <x v="4"/>
    <x v="1"/>
  </r>
  <r>
    <x v="617"/>
    <x v="7"/>
    <x v="0"/>
    <n v="30.2"/>
    <n v="30.2"/>
    <x v="26"/>
    <x v="29"/>
    <s v="F"/>
    <x v="2"/>
    <x v="1"/>
    <x v="0"/>
    <x v="3"/>
    <x v="3"/>
    <x v="4"/>
    <x v="2"/>
  </r>
  <r>
    <x v="618"/>
    <x v="1"/>
    <x v="7"/>
    <n v="53.2"/>
    <n v="532"/>
    <x v="26"/>
    <x v="29"/>
    <s v="M"/>
    <x v="0"/>
    <x v="2"/>
    <x v="0"/>
    <x v="5"/>
    <x v="3"/>
    <x v="4"/>
    <x v="1"/>
  </r>
  <r>
    <x v="619"/>
    <x v="12"/>
    <x v="13"/>
    <n v="51.1"/>
    <n v="306.60000000000002"/>
    <x v="26"/>
    <x v="22"/>
    <s v="M"/>
    <x v="1"/>
    <x v="2"/>
    <x v="0"/>
    <x v="5"/>
    <x v="7"/>
    <x v="4"/>
    <x v="1"/>
  </r>
  <r>
    <x v="620"/>
    <x v="1"/>
    <x v="0"/>
    <n v="105.4"/>
    <n v="105.4"/>
    <x v="26"/>
    <x v="27"/>
    <s v="F"/>
    <x v="1"/>
    <x v="2"/>
    <x v="0"/>
    <x v="23"/>
    <x v="5"/>
    <x v="4"/>
    <x v="2"/>
  </r>
  <r>
    <x v="621"/>
    <x v="7"/>
    <x v="0"/>
    <n v="57.7"/>
    <n v="57.7"/>
    <x v="26"/>
    <x v="22"/>
    <s v="M"/>
    <x v="0"/>
    <x v="4"/>
    <x v="0"/>
    <x v="8"/>
    <x v="7"/>
    <x v="4"/>
    <x v="1"/>
  </r>
  <r>
    <x v="622"/>
    <x v="15"/>
    <x v="1"/>
    <n v="72.400000000000006"/>
    <n v="144.80000000000001"/>
    <x v="26"/>
    <x v="30"/>
    <s v="F"/>
    <x v="0"/>
    <x v="0"/>
    <x v="0"/>
    <x v="17"/>
    <x v="0"/>
    <x v="4"/>
    <x v="2"/>
  </r>
  <r>
    <x v="623"/>
    <x v="6"/>
    <x v="1"/>
    <n v="62.5"/>
    <n v="125"/>
    <x v="26"/>
    <x v="29"/>
    <s v=""/>
    <x v="0"/>
    <x v="2"/>
    <x v="0"/>
    <x v="11"/>
    <x v="3"/>
    <x v="4"/>
    <x v="0"/>
  </r>
  <r>
    <x v="624"/>
    <x v="0"/>
    <x v="32"/>
    <n v="11.6"/>
    <n v="255.2"/>
    <x v="26"/>
    <x v="28"/>
    <s v="F"/>
    <x v="3"/>
    <x v="2"/>
    <x v="0"/>
    <x v="18"/>
    <x v="1"/>
    <x v="4"/>
    <x v="2"/>
  </r>
  <r>
    <x v="625"/>
    <x v="10"/>
    <x v="7"/>
    <n v="39.6"/>
    <n v="396"/>
    <x v="26"/>
    <x v="28"/>
    <s v="F"/>
    <x v="2"/>
    <x v="2"/>
    <x v="0"/>
    <x v="18"/>
    <x v="1"/>
    <x v="4"/>
    <x v="2"/>
  </r>
  <r>
    <x v="626"/>
    <x v="8"/>
    <x v="1"/>
    <n v="40.1"/>
    <n v="80.2"/>
    <x v="26"/>
    <x v="29"/>
    <s v="F"/>
    <x v="2"/>
    <x v="0"/>
    <x v="0"/>
    <x v="18"/>
    <x v="3"/>
    <x v="4"/>
    <x v="2"/>
  </r>
  <r>
    <x v="627"/>
    <x v="8"/>
    <x v="2"/>
    <n v="18.600000000000001"/>
    <n v="55.800000000000004"/>
    <x v="26"/>
    <x v="29"/>
    <s v="F"/>
    <x v="2"/>
    <x v="0"/>
    <x v="0"/>
    <x v="21"/>
    <x v="3"/>
    <x v="4"/>
    <x v="2"/>
  </r>
  <r>
    <x v="628"/>
    <x v="4"/>
    <x v="0"/>
    <n v="58.8"/>
    <n v="58.8"/>
    <x v="26"/>
    <x v="28"/>
    <s v="F"/>
    <x v="0"/>
    <x v="1"/>
    <x v="0"/>
    <x v="21"/>
    <x v="1"/>
    <x v="4"/>
    <x v="2"/>
  </r>
  <r>
    <x v="629"/>
    <x v="8"/>
    <x v="1"/>
    <n v="22.1"/>
    <n v="44.2"/>
    <x v="26"/>
    <x v="26"/>
    <s v="M"/>
    <x v="1"/>
    <x v="2"/>
    <x v="0"/>
    <x v="21"/>
    <x v="2"/>
    <x v="4"/>
    <x v="1"/>
  </r>
  <r>
    <x v="630"/>
    <x v="2"/>
    <x v="0"/>
    <n v="114.9"/>
    <n v="114.9"/>
    <x v="27"/>
    <x v="28"/>
    <s v="F"/>
    <x v="1"/>
    <x v="1"/>
    <x v="0"/>
    <x v="22"/>
    <x v="3"/>
    <x v="4"/>
    <x v="2"/>
  </r>
  <r>
    <x v="631"/>
    <x v="9"/>
    <x v="9"/>
    <n v="75.8"/>
    <n v="379"/>
    <x v="27"/>
    <x v="28"/>
    <s v="M"/>
    <x v="0"/>
    <x v="2"/>
    <x v="0"/>
    <x v="3"/>
    <x v="3"/>
    <x v="4"/>
    <x v="1"/>
  </r>
  <r>
    <x v="632"/>
    <x v="14"/>
    <x v="9"/>
    <n v="20.6"/>
    <n v="103"/>
    <x v="27"/>
    <x v="28"/>
    <s v="M"/>
    <x v="2"/>
    <x v="2"/>
    <x v="0"/>
    <x v="3"/>
    <x v="3"/>
    <x v="4"/>
    <x v="1"/>
  </r>
  <r>
    <x v="633"/>
    <x v="17"/>
    <x v="2"/>
    <n v="67.900000000000006"/>
    <n v="203.70000000000002"/>
    <x v="27"/>
    <x v="28"/>
    <s v="F"/>
    <x v="1"/>
    <x v="1"/>
    <x v="0"/>
    <x v="3"/>
    <x v="3"/>
    <x v="4"/>
    <x v="2"/>
  </r>
  <r>
    <x v="634"/>
    <x v="0"/>
    <x v="9"/>
    <n v="27"/>
    <n v="135"/>
    <x v="27"/>
    <x v="32"/>
    <s v="F"/>
    <x v="0"/>
    <x v="2"/>
    <x v="0"/>
    <x v="3"/>
    <x v="6"/>
    <x v="4"/>
    <x v="2"/>
  </r>
  <r>
    <x v="635"/>
    <x v="13"/>
    <x v="0"/>
    <n v="50.6"/>
    <n v="50.6"/>
    <x v="27"/>
    <x v="29"/>
    <s v="M"/>
    <x v="0"/>
    <x v="1"/>
    <x v="0"/>
    <x v="3"/>
    <x v="7"/>
    <x v="4"/>
    <x v="1"/>
  </r>
  <r>
    <x v="636"/>
    <x v="4"/>
    <x v="9"/>
    <n v="22.1"/>
    <n v="110.5"/>
    <x v="27"/>
    <x v="33"/>
    <s v="M"/>
    <x v="0"/>
    <x v="0"/>
    <x v="0"/>
    <x v="3"/>
    <x v="0"/>
    <x v="4"/>
    <x v="1"/>
  </r>
  <r>
    <x v="637"/>
    <x v="8"/>
    <x v="2"/>
    <n v="42.9"/>
    <n v="128.69999999999999"/>
    <x v="27"/>
    <x v="26"/>
    <s v="F"/>
    <x v="0"/>
    <x v="0"/>
    <x v="0"/>
    <x v="3"/>
    <x v="1"/>
    <x v="4"/>
    <x v="2"/>
  </r>
  <r>
    <x v="638"/>
    <x v="1"/>
    <x v="5"/>
    <n v="62.4"/>
    <n v="686.4"/>
    <x v="27"/>
    <x v="26"/>
    <s v="F"/>
    <x v="2"/>
    <x v="0"/>
    <x v="0"/>
    <x v="3"/>
    <x v="1"/>
    <x v="4"/>
    <x v="2"/>
  </r>
  <r>
    <x v="639"/>
    <x v="13"/>
    <x v="11"/>
    <n v="36.4"/>
    <n v="327.59999999999997"/>
    <x v="27"/>
    <x v="26"/>
    <s v="F"/>
    <x v="0"/>
    <x v="2"/>
    <x v="0"/>
    <x v="3"/>
    <x v="1"/>
    <x v="4"/>
    <x v="2"/>
  </r>
  <r>
    <x v="640"/>
    <x v="0"/>
    <x v="1"/>
    <n v="22.5"/>
    <n v="45"/>
    <x v="27"/>
    <x v="27"/>
    <s v="M"/>
    <x v="0"/>
    <x v="0"/>
    <x v="0"/>
    <x v="3"/>
    <x v="2"/>
    <x v="4"/>
    <x v="1"/>
  </r>
  <r>
    <x v="641"/>
    <x v="6"/>
    <x v="12"/>
    <n v="70.8"/>
    <n v="283.2"/>
    <x v="27"/>
    <x v="26"/>
    <s v="F"/>
    <x v="4"/>
    <x v="0"/>
    <x v="0"/>
    <x v="3"/>
    <x v="1"/>
    <x v="4"/>
    <x v="2"/>
  </r>
  <r>
    <x v="642"/>
    <x v="6"/>
    <x v="9"/>
    <n v="56.6"/>
    <n v="283"/>
    <x v="27"/>
    <x v="26"/>
    <s v="M"/>
    <x v="0"/>
    <x v="1"/>
    <x v="0"/>
    <x v="4"/>
    <x v="1"/>
    <x v="4"/>
    <x v="1"/>
  </r>
  <r>
    <x v="643"/>
    <x v="6"/>
    <x v="1"/>
    <n v="47.9"/>
    <n v="95.8"/>
    <x v="27"/>
    <x v="28"/>
    <s v="F"/>
    <x v="0"/>
    <x v="0"/>
    <x v="0"/>
    <x v="6"/>
    <x v="3"/>
    <x v="4"/>
    <x v="2"/>
  </r>
  <r>
    <x v="644"/>
    <x v="6"/>
    <x v="8"/>
    <n v="78.400000000000006"/>
    <n v="627.20000000000005"/>
    <x v="27"/>
    <x v="26"/>
    <s v="F"/>
    <x v="1"/>
    <x v="0"/>
    <x v="0"/>
    <x v="6"/>
    <x v="1"/>
    <x v="4"/>
    <x v="2"/>
  </r>
  <r>
    <x v="645"/>
    <x v="2"/>
    <x v="21"/>
    <n v="122.1"/>
    <n v="1709.3999999999999"/>
    <x v="27"/>
    <x v="33"/>
    <s v="F"/>
    <x v="0"/>
    <x v="2"/>
    <x v="0"/>
    <x v="6"/>
    <x v="0"/>
    <x v="4"/>
    <x v="2"/>
  </r>
  <r>
    <x v="646"/>
    <x v="2"/>
    <x v="1"/>
    <n v="83.7"/>
    <n v="167.4"/>
    <x v="28"/>
    <x v="28"/>
    <s v=""/>
    <x v="1"/>
    <x v="2"/>
    <x v="0"/>
    <x v="7"/>
    <x v="7"/>
    <x v="4"/>
    <x v="0"/>
  </r>
  <r>
    <x v="647"/>
    <x v="3"/>
    <x v="12"/>
    <n v="97.9"/>
    <n v="391.6"/>
    <x v="28"/>
    <x v="33"/>
    <s v="F"/>
    <x v="3"/>
    <x v="2"/>
    <x v="0"/>
    <x v="7"/>
    <x v="5"/>
    <x v="4"/>
    <x v="2"/>
  </r>
  <r>
    <x v="648"/>
    <x v="14"/>
    <x v="0"/>
    <n v="15"/>
    <n v="15"/>
    <x v="28"/>
    <x v="34"/>
    <s v="F"/>
    <x v="3"/>
    <x v="0"/>
    <x v="0"/>
    <x v="8"/>
    <x v="0"/>
    <x v="4"/>
    <x v="2"/>
  </r>
  <r>
    <x v="649"/>
    <x v="12"/>
    <x v="2"/>
    <n v="94.6"/>
    <n v="283.79999999999995"/>
    <x v="28"/>
    <x v="26"/>
    <s v="M"/>
    <x v="2"/>
    <x v="1"/>
    <x v="0"/>
    <x v="8"/>
    <x v="3"/>
    <x v="4"/>
    <x v="1"/>
  </r>
  <r>
    <x v="650"/>
    <x v="0"/>
    <x v="13"/>
    <n v="19.7"/>
    <n v="118.19999999999999"/>
    <x v="28"/>
    <x v="35"/>
    <s v="F"/>
    <x v="0"/>
    <x v="2"/>
    <x v="0"/>
    <x v="8"/>
    <x v="11"/>
    <x v="4"/>
    <x v="2"/>
  </r>
  <r>
    <x v="651"/>
    <x v="7"/>
    <x v="0"/>
    <n v="46.7"/>
    <n v="46.7"/>
    <x v="28"/>
    <x v="30"/>
    <s v="F"/>
    <x v="2"/>
    <x v="0"/>
    <x v="0"/>
    <x v="17"/>
    <x v="2"/>
    <x v="4"/>
    <x v="2"/>
  </r>
  <r>
    <x v="652"/>
    <x v="1"/>
    <x v="12"/>
    <n v="43"/>
    <n v="172"/>
    <x v="28"/>
    <x v="26"/>
    <s v="M"/>
    <x v="2"/>
    <x v="2"/>
    <x v="0"/>
    <x v="17"/>
    <x v="3"/>
    <x v="4"/>
    <x v="1"/>
  </r>
  <r>
    <x v="653"/>
    <x v="6"/>
    <x v="2"/>
    <n v="68.2"/>
    <n v="204.60000000000002"/>
    <x v="28"/>
    <x v="32"/>
    <s v="F"/>
    <x v="0"/>
    <x v="0"/>
    <x v="0"/>
    <x v="9"/>
    <x v="4"/>
    <x v="4"/>
    <x v="2"/>
  </r>
  <r>
    <x v="654"/>
    <x v="10"/>
    <x v="7"/>
    <n v="24.3"/>
    <n v="243"/>
    <x v="28"/>
    <x v="26"/>
    <s v="M"/>
    <x v="0"/>
    <x v="2"/>
    <x v="0"/>
    <x v="10"/>
    <x v="3"/>
    <x v="4"/>
    <x v="1"/>
  </r>
  <r>
    <x v="655"/>
    <x v="7"/>
    <x v="1"/>
    <n v="86.8"/>
    <n v="173.6"/>
    <x v="28"/>
    <x v="33"/>
    <s v="F"/>
    <x v="4"/>
    <x v="2"/>
    <x v="0"/>
    <x v="11"/>
    <x v="5"/>
    <x v="4"/>
    <x v="2"/>
  </r>
  <r>
    <x v="656"/>
    <x v="0"/>
    <x v="1"/>
    <n v="15.8"/>
    <n v="31.6"/>
    <x v="28"/>
    <x v="27"/>
    <s v="M"/>
    <x v="1"/>
    <x v="0"/>
    <x v="0"/>
    <x v="11"/>
    <x v="1"/>
    <x v="4"/>
    <x v="1"/>
  </r>
  <r>
    <x v="657"/>
    <x v="2"/>
    <x v="12"/>
    <n v="61.6"/>
    <n v="246.4"/>
    <x v="28"/>
    <x v="26"/>
    <s v="M"/>
    <x v="2"/>
    <x v="0"/>
    <x v="0"/>
    <x v="11"/>
    <x v="3"/>
    <x v="4"/>
    <x v="1"/>
  </r>
  <r>
    <x v="658"/>
    <x v="6"/>
    <x v="2"/>
    <n v="48.7"/>
    <n v="146.10000000000002"/>
    <x v="28"/>
    <x v="32"/>
    <s v="F"/>
    <x v="1"/>
    <x v="2"/>
    <x v="0"/>
    <x v="45"/>
    <x v="4"/>
    <x v="4"/>
    <x v="2"/>
  </r>
  <r>
    <x v="659"/>
    <x v="8"/>
    <x v="12"/>
    <n v="24.3"/>
    <n v="97.2"/>
    <x v="28"/>
    <x v="27"/>
    <s v="F"/>
    <x v="1"/>
    <x v="2"/>
    <x v="0"/>
    <x v="21"/>
    <x v="1"/>
    <x v="4"/>
    <x v="2"/>
  </r>
  <r>
    <x v="660"/>
    <x v="2"/>
    <x v="1"/>
    <n v="130.69999999999999"/>
    <n v="261.39999999999998"/>
    <x v="28"/>
    <x v="26"/>
    <s v="F"/>
    <x v="2"/>
    <x v="0"/>
    <x v="0"/>
    <x v="44"/>
    <x v="3"/>
    <x v="4"/>
    <x v="2"/>
  </r>
  <r>
    <x v="661"/>
    <x v="10"/>
    <x v="0"/>
    <n v="26"/>
    <n v="26"/>
    <x v="28"/>
    <x v="27"/>
    <s v="M"/>
    <x v="0"/>
    <x v="0"/>
    <x v="0"/>
    <x v="3"/>
    <x v="1"/>
    <x v="4"/>
    <x v="1"/>
  </r>
  <r>
    <x v="662"/>
    <x v="2"/>
    <x v="9"/>
    <n v="94.4"/>
    <n v="472"/>
    <x v="28"/>
    <x v="26"/>
    <s v="F"/>
    <x v="0"/>
    <x v="0"/>
    <x v="0"/>
    <x v="3"/>
    <x v="3"/>
    <x v="4"/>
    <x v="2"/>
  </r>
  <r>
    <x v="663"/>
    <x v="0"/>
    <x v="13"/>
    <n v="23.7"/>
    <n v="142.19999999999999"/>
    <x v="28"/>
    <x v="27"/>
    <s v="M"/>
    <x v="2"/>
    <x v="2"/>
    <x v="0"/>
    <x v="3"/>
    <x v="1"/>
    <x v="4"/>
    <x v="1"/>
  </r>
  <r>
    <x v="664"/>
    <x v="9"/>
    <x v="4"/>
    <n v="37.4"/>
    <n v="448.79999999999995"/>
    <x v="28"/>
    <x v="27"/>
    <s v="M"/>
    <x v="2"/>
    <x v="0"/>
    <x v="0"/>
    <x v="3"/>
    <x v="1"/>
    <x v="4"/>
    <x v="1"/>
  </r>
  <r>
    <x v="665"/>
    <x v="1"/>
    <x v="34"/>
    <n v="55.2"/>
    <n v="1987.2"/>
    <x v="28"/>
    <x v="28"/>
    <s v="F"/>
    <x v="3"/>
    <x v="1"/>
    <x v="0"/>
    <x v="3"/>
    <x v="7"/>
    <x v="4"/>
    <x v="2"/>
  </r>
  <r>
    <x v="666"/>
    <x v="2"/>
    <x v="11"/>
    <n v="57.1"/>
    <n v="513.9"/>
    <x v="28"/>
    <x v="27"/>
    <s v="M"/>
    <x v="0"/>
    <x v="2"/>
    <x v="0"/>
    <x v="3"/>
    <x v="1"/>
    <x v="4"/>
    <x v="1"/>
  </r>
  <r>
    <x v="667"/>
    <x v="12"/>
    <x v="0"/>
    <n v="55.3"/>
    <n v="55.3"/>
    <x v="28"/>
    <x v="26"/>
    <s v="F"/>
    <x v="2"/>
    <x v="2"/>
    <x v="0"/>
    <x v="3"/>
    <x v="3"/>
    <x v="4"/>
    <x v="2"/>
  </r>
  <r>
    <x v="668"/>
    <x v="15"/>
    <x v="3"/>
    <n v="23.9"/>
    <n v="167.29999999999998"/>
    <x v="28"/>
    <x v="26"/>
    <s v="F"/>
    <x v="4"/>
    <x v="1"/>
    <x v="0"/>
    <x v="3"/>
    <x v="3"/>
    <x v="4"/>
    <x v="2"/>
  </r>
  <r>
    <x v="669"/>
    <x v="0"/>
    <x v="0"/>
    <n v="34.1"/>
    <n v="34.1"/>
    <x v="28"/>
    <x v="36"/>
    <s v="F"/>
    <x v="2"/>
    <x v="0"/>
    <x v="0"/>
    <x v="3"/>
    <x v="6"/>
    <x v="4"/>
    <x v="2"/>
  </r>
  <r>
    <x v="670"/>
    <x v="12"/>
    <x v="12"/>
    <n v="38.5"/>
    <n v="154"/>
    <x v="28"/>
    <x v="35"/>
    <s v="F"/>
    <x v="0"/>
    <x v="0"/>
    <x v="0"/>
    <x v="3"/>
    <x v="11"/>
    <x v="4"/>
    <x v="2"/>
  </r>
  <r>
    <x v="671"/>
    <x v="7"/>
    <x v="1"/>
    <n v="105"/>
    <n v="210"/>
    <x v="28"/>
    <x v="32"/>
    <s v="F"/>
    <x v="0"/>
    <x v="2"/>
    <x v="0"/>
    <x v="3"/>
    <x v="4"/>
    <x v="4"/>
    <x v="2"/>
  </r>
  <r>
    <x v="672"/>
    <x v="8"/>
    <x v="9"/>
    <n v="45.2"/>
    <n v="226"/>
    <x v="28"/>
    <x v="27"/>
    <s v="F"/>
    <x v="0"/>
    <x v="2"/>
    <x v="0"/>
    <x v="3"/>
    <x v="1"/>
    <x v="4"/>
    <x v="2"/>
  </r>
  <r>
    <x v="673"/>
    <x v="17"/>
    <x v="2"/>
    <n v="24.8"/>
    <n v="74.400000000000006"/>
    <x v="28"/>
    <x v="28"/>
    <s v=""/>
    <x v="0"/>
    <x v="1"/>
    <x v="0"/>
    <x v="3"/>
    <x v="7"/>
    <x v="4"/>
    <x v="0"/>
  </r>
  <r>
    <x v="674"/>
    <x v="11"/>
    <x v="12"/>
    <n v="43.8"/>
    <n v="175.2"/>
    <x v="28"/>
    <x v="36"/>
    <s v="F"/>
    <x v="1"/>
    <x v="2"/>
    <x v="0"/>
    <x v="6"/>
    <x v="6"/>
    <x v="4"/>
    <x v="2"/>
  </r>
  <r>
    <x v="675"/>
    <x v="1"/>
    <x v="0"/>
    <n v="75"/>
    <n v="75"/>
    <x v="28"/>
    <x v="27"/>
    <s v="F"/>
    <x v="4"/>
    <x v="1"/>
    <x v="0"/>
    <x v="6"/>
    <x v="1"/>
    <x v="4"/>
    <x v="2"/>
  </r>
  <r>
    <x v="676"/>
    <x v="2"/>
    <x v="0"/>
    <n v="169.9"/>
    <n v="169.9"/>
    <x v="28"/>
    <x v="26"/>
    <s v="M"/>
    <x v="2"/>
    <x v="0"/>
    <x v="0"/>
    <x v="6"/>
    <x v="3"/>
    <x v="4"/>
    <x v="1"/>
  </r>
  <r>
    <x v="677"/>
    <x v="9"/>
    <x v="1"/>
    <n v="72.2"/>
    <n v="144.4"/>
    <x v="28"/>
    <x v="27"/>
    <s v="F"/>
    <x v="4"/>
    <x v="1"/>
    <x v="0"/>
    <x v="6"/>
    <x v="1"/>
    <x v="4"/>
    <x v="2"/>
  </r>
  <r>
    <x v="678"/>
    <x v="0"/>
    <x v="0"/>
    <n v="20"/>
    <n v="20"/>
    <x v="29"/>
    <x v="33"/>
    <s v="F"/>
    <x v="2"/>
    <x v="1"/>
    <x v="0"/>
    <x v="7"/>
    <x v="2"/>
    <x v="4"/>
    <x v="2"/>
  </r>
  <r>
    <x v="679"/>
    <x v="9"/>
    <x v="1"/>
    <n v="40.799999999999997"/>
    <n v="81.599999999999994"/>
    <x v="29"/>
    <x v="30"/>
    <s v="F"/>
    <x v="3"/>
    <x v="2"/>
    <x v="0"/>
    <x v="8"/>
    <x v="1"/>
    <x v="4"/>
    <x v="2"/>
  </r>
  <r>
    <x v="680"/>
    <x v="10"/>
    <x v="12"/>
    <n v="58"/>
    <n v="232"/>
    <x v="29"/>
    <x v="34"/>
    <s v="F"/>
    <x v="0"/>
    <x v="0"/>
    <x v="0"/>
    <x v="8"/>
    <x v="5"/>
    <x v="4"/>
    <x v="2"/>
  </r>
  <r>
    <x v="681"/>
    <x v="12"/>
    <x v="1"/>
    <n v="43.1"/>
    <n v="86.2"/>
    <x v="29"/>
    <x v="27"/>
    <s v="F"/>
    <x v="1"/>
    <x v="2"/>
    <x v="0"/>
    <x v="8"/>
    <x v="3"/>
    <x v="4"/>
    <x v="2"/>
  </r>
  <r>
    <x v="682"/>
    <x v="6"/>
    <x v="11"/>
    <n v="74.7"/>
    <n v="672.30000000000007"/>
    <x v="29"/>
    <x v="30"/>
    <s v="M"/>
    <x v="0"/>
    <x v="2"/>
    <x v="0"/>
    <x v="8"/>
    <x v="1"/>
    <x v="4"/>
    <x v="1"/>
  </r>
  <r>
    <x v="683"/>
    <x v="6"/>
    <x v="0"/>
    <n v="128.19999999999999"/>
    <n v="128.19999999999999"/>
    <x v="29"/>
    <x v="26"/>
    <s v="M"/>
    <x v="1"/>
    <x v="0"/>
    <x v="0"/>
    <x v="8"/>
    <x v="7"/>
    <x v="4"/>
    <x v="1"/>
  </r>
  <r>
    <x v="684"/>
    <x v="14"/>
    <x v="12"/>
    <n v="26.7"/>
    <n v="106.8"/>
    <x v="29"/>
    <x v="27"/>
    <s v="M"/>
    <x v="1"/>
    <x v="0"/>
    <x v="0"/>
    <x v="8"/>
    <x v="3"/>
    <x v="4"/>
    <x v="1"/>
  </r>
  <r>
    <x v="685"/>
    <x v="17"/>
    <x v="13"/>
    <n v="31.5"/>
    <n v="189"/>
    <x v="29"/>
    <x v="27"/>
    <s v="F"/>
    <x v="2"/>
    <x v="0"/>
    <x v="0"/>
    <x v="17"/>
    <x v="3"/>
    <x v="4"/>
    <x v="2"/>
  </r>
  <r>
    <x v="686"/>
    <x v="3"/>
    <x v="3"/>
    <n v="64.7"/>
    <n v="452.90000000000003"/>
    <x v="29"/>
    <x v="27"/>
    <s v="F"/>
    <x v="0"/>
    <x v="2"/>
    <x v="0"/>
    <x v="9"/>
    <x v="3"/>
    <x v="4"/>
    <x v="2"/>
  </r>
  <r>
    <x v="687"/>
    <x v="5"/>
    <x v="1"/>
    <n v="55.6"/>
    <n v="111.2"/>
    <x v="29"/>
    <x v="33"/>
    <s v="F"/>
    <x v="3"/>
    <x v="0"/>
    <x v="0"/>
    <x v="11"/>
    <x v="2"/>
    <x v="4"/>
    <x v="2"/>
  </r>
  <r>
    <x v="688"/>
    <x v="3"/>
    <x v="1"/>
    <n v="36.200000000000003"/>
    <n v="72.400000000000006"/>
    <x v="29"/>
    <x v="27"/>
    <s v="F"/>
    <x v="3"/>
    <x v="0"/>
    <x v="0"/>
    <x v="11"/>
    <x v="3"/>
    <x v="4"/>
    <x v="2"/>
  </r>
  <r>
    <x v="689"/>
    <x v="0"/>
    <x v="0"/>
    <n v="26.6"/>
    <n v="26.6"/>
    <x v="29"/>
    <x v="27"/>
    <s v=""/>
    <x v="1"/>
    <x v="1"/>
    <x v="0"/>
    <x v="19"/>
    <x v="3"/>
    <x v="4"/>
    <x v="0"/>
  </r>
  <r>
    <x v="690"/>
    <x v="10"/>
    <x v="12"/>
    <n v="31.5"/>
    <n v="126"/>
    <x v="29"/>
    <x v="30"/>
    <s v="M"/>
    <x v="0"/>
    <x v="0"/>
    <x v="0"/>
    <x v="31"/>
    <x v="1"/>
    <x v="4"/>
    <x v="1"/>
  </r>
  <r>
    <x v="691"/>
    <x v="10"/>
    <x v="0"/>
    <n v="27"/>
    <n v="27"/>
    <x v="29"/>
    <x v="30"/>
    <s v="F"/>
    <x v="1"/>
    <x v="2"/>
    <x v="0"/>
    <x v="13"/>
    <x v="1"/>
    <x v="4"/>
    <x v="2"/>
  </r>
  <r>
    <x v="692"/>
    <x v="4"/>
    <x v="0"/>
    <n v="32"/>
    <n v="32"/>
    <x v="29"/>
    <x v="33"/>
    <s v="M"/>
    <x v="3"/>
    <x v="0"/>
    <x v="0"/>
    <x v="21"/>
    <x v="2"/>
    <x v="4"/>
    <x v="1"/>
  </r>
  <r>
    <x v="693"/>
    <x v="1"/>
    <x v="2"/>
    <n v="48.1"/>
    <n v="144.30000000000001"/>
    <x v="29"/>
    <x v="30"/>
    <s v="M"/>
    <x v="2"/>
    <x v="1"/>
    <x v="0"/>
    <x v="1"/>
    <x v="1"/>
    <x v="4"/>
    <x v="1"/>
  </r>
  <r>
    <x v="694"/>
    <x v="9"/>
    <x v="1"/>
    <n v="43.4"/>
    <n v="86.8"/>
    <x v="29"/>
    <x v="27"/>
    <s v="M"/>
    <x v="1"/>
    <x v="1"/>
    <x v="0"/>
    <x v="22"/>
    <x v="3"/>
    <x v="4"/>
    <x v="1"/>
  </r>
  <r>
    <x v="695"/>
    <x v="6"/>
    <x v="1"/>
    <n v="42.6"/>
    <n v="85.2"/>
    <x v="29"/>
    <x v="33"/>
    <s v="F"/>
    <x v="3"/>
    <x v="0"/>
    <x v="0"/>
    <x v="22"/>
    <x v="2"/>
    <x v="4"/>
    <x v="2"/>
  </r>
  <r>
    <x v="696"/>
    <x v="8"/>
    <x v="1"/>
    <n v="15.9"/>
    <n v="31.8"/>
    <x v="29"/>
    <x v="27"/>
    <s v="F"/>
    <x v="0"/>
    <x v="0"/>
    <x v="0"/>
    <x v="34"/>
    <x v="3"/>
    <x v="4"/>
    <x v="2"/>
  </r>
  <r>
    <x v="697"/>
    <x v="9"/>
    <x v="1"/>
    <n v="63.2"/>
    <n v="126.4"/>
    <x v="29"/>
    <x v="27"/>
    <s v="M"/>
    <x v="1"/>
    <x v="0"/>
    <x v="0"/>
    <x v="3"/>
    <x v="3"/>
    <x v="4"/>
    <x v="1"/>
  </r>
  <r>
    <x v="698"/>
    <x v="7"/>
    <x v="12"/>
    <n v="64.8"/>
    <n v="259.2"/>
    <x v="29"/>
    <x v="30"/>
    <s v=""/>
    <x v="4"/>
    <x v="1"/>
    <x v="0"/>
    <x v="3"/>
    <x v="1"/>
    <x v="4"/>
    <x v="0"/>
  </r>
  <r>
    <x v="699"/>
    <x v="7"/>
    <x v="2"/>
    <n v="79.8"/>
    <n v="239.39999999999998"/>
    <x v="29"/>
    <x v="27"/>
    <s v="M"/>
    <x v="0"/>
    <x v="0"/>
    <x v="0"/>
    <x v="3"/>
    <x v="3"/>
    <x v="4"/>
    <x v="1"/>
  </r>
  <r>
    <x v="700"/>
    <x v="9"/>
    <x v="0"/>
    <n v="54.4"/>
    <n v="54.4"/>
    <x v="29"/>
    <x v="30"/>
    <s v="F"/>
    <x v="4"/>
    <x v="2"/>
    <x v="0"/>
    <x v="3"/>
    <x v="1"/>
    <x v="4"/>
    <x v="2"/>
  </r>
  <r>
    <x v="701"/>
    <x v="6"/>
    <x v="0"/>
    <n v="87.3"/>
    <n v="87.3"/>
    <x v="29"/>
    <x v="27"/>
    <s v="M"/>
    <x v="1"/>
    <x v="0"/>
    <x v="0"/>
    <x v="3"/>
    <x v="3"/>
    <x v="4"/>
    <x v="1"/>
  </r>
  <r>
    <x v="702"/>
    <x v="8"/>
    <x v="12"/>
    <n v="32.4"/>
    <n v="129.6"/>
    <x v="29"/>
    <x v="26"/>
    <s v="M"/>
    <x v="1"/>
    <x v="0"/>
    <x v="0"/>
    <x v="3"/>
    <x v="7"/>
    <x v="4"/>
    <x v="1"/>
  </r>
  <r>
    <x v="703"/>
    <x v="2"/>
    <x v="0"/>
    <n v="177.4"/>
    <n v="177.4"/>
    <x v="29"/>
    <x v="34"/>
    <s v="M"/>
    <x v="0"/>
    <x v="2"/>
    <x v="0"/>
    <x v="3"/>
    <x v="5"/>
    <x v="4"/>
    <x v="1"/>
  </r>
  <r>
    <x v="704"/>
    <x v="7"/>
    <x v="1"/>
    <n v="70.099999999999994"/>
    <n v="140.19999999999999"/>
    <x v="29"/>
    <x v="27"/>
    <s v="M"/>
    <x v="3"/>
    <x v="1"/>
    <x v="0"/>
    <x v="3"/>
    <x v="3"/>
    <x v="4"/>
    <x v="1"/>
  </r>
  <r>
    <x v="705"/>
    <x v="9"/>
    <x v="13"/>
    <n v="51.1"/>
    <n v="306.60000000000002"/>
    <x v="29"/>
    <x v="27"/>
    <s v="F"/>
    <x v="0"/>
    <x v="0"/>
    <x v="0"/>
    <x v="3"/>
    <x v="3"/>
    <x v="4"/>
    <x v="2"/>
  </r>
  <r>
    <x v="706"/>
    <x v="2"/>
    <x v="9"/>
    <n v="79.900000000000006"/>
    <n v="399.5"/>
    <x v="29"/>
    <x v="30"/>
    <s v="M"/>
    <x v="3"/>
    <x v="2"/>
    <x v="0"/>
    <x v="24"/>
    <x v="1"/>
    <x v="4"/>
    <x v="1"/>
  </r>
  <r>
    <x v="707"/>
    <x v="6"/>
    <x v="0"/>
    <n v="57.6"/>
    <n v="57.6"/>
    <x v="30"/>
    <x v="36"/>
    <s v="M"/>
    <x v="0"/>
    <x v="2"/>
    <x v="0"/>
    <x v="49"/>
    <x v="0"/>
    <x v="4"/>
    <x v="1"/>
  </r>
  <r>
    <x v="708"/>
    <x v="8"/>
    <x v="7"/>
    <n v="59.7"/>
    <n v="597"/>
    <x v="30"/>
    <x v="32"/>
    <s v="M"/>
    <x v="2"/>
    <x v="0"/>
    <x v="0"/>
    <x v="25"/>
    <x v="5"/>
    <x v="4"/>
    <x v="1"/>
  </r>
  <r>
    <x v="709"/>
    <x v="8"/>
    <x v="9"/>
    <n v="30"/>
    <n v="150"/>
    <x v="30"/>
    <x v="33"/>
    <s v="M"/>
    <x v="1"/>
    <x v="0"/>
    <x v="0"/>
    <x v="6"/>
    <x v="1"/>
    <x v="4"/>
    <x v="1"/>
  </r>
  <r>
    <x v="710"/>
    <x v="10"/>
    <x v="1"/>
    <n v="69.2"/>
    <n v="138.4"/>
    <x v="30"/>
    <x v="33"/>
    <s v=""/>
    <x v="2"/>
    <x v="1"/>
    <x v="0"/>
    <x v="6"/>
    <x v="1"/>
    <x v="4"/>
    <x v="0"/>
  </r>
  <r>
    <x v="711"/>
    <x v="0"/>
    <x v="8"/>
    <n v="10.9"/>
    <n v="87.2"/>
    <x v="30"/>
    <x v="30"/>
    <s v="F"/>
    <x v="0"/>
    <x v="2"/>
    <x v="0"/>
    <x v="6"/>
    <x v="3"/>
    <x v="4"/>
    <x v="2"/>
  </r>
  <r>
    <x v="712"/>
    <x v="16"/>
    <x v="1"/>
    <n v="48.6"/>
    <n v="97.2"/>
    <x v="30"/>
    <x v="32"/>
    <s v="M"/>
    <x v="1"/>
    <x v="2"/>
    <x v="0"/>
    <x v="6"/>
    <x v="5"/>
    <x v="4"/>
    <x v="1"/>
  </r>
  <r>
    <x v="713"/>
    <x v="2"/>
    <x v="1"/>
    <n v="61.1"/>
    <n v="122.2"/>
    <x v="30"/>
    <x v="34"/>
    <s v="F"/>
    <x v="1"/>
    <x v="2"/>
    <x v="0"/>
    <x v="7"/>
    <x v="2"/>
    <x v="4"/>
    <x v="2"/>
  </r>
  <r>
    <x v="714"/>
    <x v="8"/>
    <x v="1"/>
    <n v="23.2"/>
    <n v="46.4"/>
    <x v="30"/>
    <x v="30"/>
    <s v="M"/>
    <x v="3"/>
    <x v="2"/>
    <x v="0"/>
    <x v="8"/>
    <x v="3"/>
    <x v="4"/>
    <x v="1"/>
  </r>
  <r>
    <x v="715"/>
    <x v="12"/>
    <x v="12"/>
    <n v="55.8"/>
    <n v="223.2"/>
    <x v="30"/>
    <x v="30"/>
    <s v="M"/>
    <x v="0"/>
    <x v="0"/>
    <x v="0"/>
    <x v="8"/>
    <x v="3"/>
    <x v="4"/>
    <x v="1"/>
  </r>
  <r>
    <x v="716"/>
    <x v="9"/>
    <x v="12"/>
    <n v="24.8"/>
    <n v="99.2"/>
    <x v="30"/>
    <x v="30"/>
    <s v="F"/>
    <x v="0"/>
    <x v="2"/>
    <x v="0"/>
    <x v="8"/>
    <x v="3"/>
    <x v="4"/>
    <x v="2"/>
  </r>
  <r>
    <x v="717"/>
    <x v="10"/>
    <x v="1"/>
    <n v="27.9"/>
    <n v="55.8"/>
    <x v="30"/>
    <x v="27"/>
    <s v="M"/>
    <x v="2"/>
    <x v="2"/>
    <x v="0"/>
    <x v="8"/>
    <x v="7"/>
    <x v="4"/>
    <x v="1"/>
  </r>
  <r>
    <x v="718"/>
    <x v="10"/>
    <x v="13"/>
    <n v="51.1"/>
    <n v="306.60000000000002"/>
    <x v="30"/>
    <x v="27"/>
    <s v="F"/>
    <x v="3"/>
    <x v="0"/>
    <x v="0"/>
    <x v="8"/>
    <x v="7"/>
    <x v="4"/>
    <x v="2"/>
  </r>
  <r>
    <x v="719"/>
    <x v="17"/>
    <x v="5"/>
    <n v="32.700000000000003"/>
    <n v="359.70000000000005"/>
    <x v="30"/>
    <x v="30"/>
    <s v="M"/>
    <x v="4"/>
    <x v="2"/>
    <x v="0"/>
    <x v="17"/>
    <x v="3"/>
    <x v="4"/>
    <x v="1"/>
  </r>
  <r>
    <x v="720"/>
    <x v="8"/>
    <x v="12"/>
    <n v="22.5"/>
    <n v="90"/>
    <x v="30"/>
    <x v="27"/>
    <s v="M"/>
    <x v="0"/>
    <x v="2"/>
    <x v="0"/>
    <x v="26"/>
    <x v="7"/>
    <x v="4"/>
    <x v="1"/>
  </r>
  <r>
    <x v="721"/>
    <x v="0"/>
    <x v="3"/>
    <n v="14.6"/>
    <n v="102.2"/>
    <x v="30"/>
    <x v="30"/>
    <s v="F"/>
    <x v="2"/>
    <x v="0"/>
    <x v="0"/>
    <x v="41"/>
    <x v="3"/>
    <x v="4"/>
    <x v="2"/>
  </r>
  <r>
    <x v="722"/>
    <x v="5"/>
    <x v="2"/>
    <n v="32.5"/>
    <n v="97.5"/>
    <x v="30"/>
    <x v="34"/>
    <s v="M"/>
    <x v="0"/>
    <x v="0"/>
    <x v="0"/>
    <x v="10"/>
    <x v="2"/>
    <x v="4"/>
    <x v="1"/>
  </r>
  <r>
    <x v="723"/>
    <x v="18"/>
    <x v="0"/>
    <n v="78.099999999999994"/>
    <n v="78.099999999999994"/>
    <x v="30"/>
    <x v="34"/>
    <s v="M"/>
    <x v="0"/>
    <x v="2"/>
    <x v="0"/>
    <x v="11"/>
    <x v="2"/>
    <x v="4"/>
    <x v="1"/>
  </r>
  <r>
    <x v="724"/>
    <x v="12"/>
    <x v="13"/>
    <n v="110.2"/>
    <n v="661.2"/>
    <x v="30"/>
    <x v="27"/>
    <s v="M"/>
    <x v="1"/>
    <x v="4"/>
    <x v="0"/>
    <x v="13"/>
    <x v="7"/>
    <x v="4"/>
    <x v="1"/>
  </r>
  <r>
    <x v="725"/>
    <x v="6"/>
    <x v="2"/>
    <n v="86.3"/>
    <n v="258.89999999999998"/>
    <x v="30"/>
    <x v="33"/>
    <s v="F"/>
    <x v="3"/>
    <x v="0"/>
    <x v="0"/>
    <x v="21"/>
    <x v="1"/>
    <x v="4"/>
    <x v="2"/>
  </r>
  <r>
    <x v="726"/>
    <x v="1"/>
    <x v="13"/>
    <n v="73.599999999999994"/>
    <n v="441.59999999999997"/>
    <x v="30"/>
    <x v="33"/>
    <s v="O"/>
    <x v="3"/>
    <x v="4"/>
    <x v="0"/>
    <x v="44"/>
    <x v="1"/>
    <x v="4"/>
    <x v="3"/>
  </r>
  <r>
    <x v="727"/>
    <x v="6"/>
    <x v="15"/>
    <n v="67.7"/>
    <n v="880.1"/>
    <x v="30"/>
    <x v="33"/>
    <s v="F"/>
    <x v="0"/>
    <x v="2"/>
    <x v="0"/>
    <x v="3"/>
    <x v="1"/>
    <x v="4"/>
    <x v="2"/>
  </r>
  <r>
    <x v="728"/>
    <x v="7"/>
    <x v="13"/>
    <n v="142.19999999999999"/>
    <n v="853.19999999999993"/>
    <x v="30"/>
    <x v="30"/>
    <s v="F"/>
    <x v="2"/>
    <x v="4"/>
    <x v="0"/>
    <x v="3"/>
    <x v="3"/>
    <x v="4"/>
    <x v="2"/>
  </r>
  <r>
    <x v="729"/>
    <x v="1"/>
    <x v="11"/>
    <n v="45.8"/>
    <n v="412.2"/>
    <x v="30"/>
    <x v="33"/>
    <s v="F"/>
    <x v="1"/>
    <x v="2"/>
    <x v="0"/>
    <x v="3"/>
    <x v="1"/>
    <x v="4"/>
    <x v="2"/>
  </r>
  <r>
    <x v="730"/>
    <x v="10"/>
    <x v="1"/>
    <n v="24.2"/>
    <n v="48.4"/>
    <x v="31"/>
    <x v="32"/>
    <s v="F"/>
    <x v="3"/>
    <x v="2"/>
    <x v="0"/>
    <x v="3"/>
    <x v="2"/>
    <x v="4"/>
    <x v="2"/>
  </r>
  <r>
    <x v="731"/>
    <x v="2"/>
    <x v="2"/>
    <n v="144.9"/>
    <n v="434.70000000000005"/>
    <x v="31"/>
    <x v="33"/>
    <s v="O"/>
    <x v="2"/>
    <x v="2"/>
    <x v="0"/>
    <x v="3"/>
    <x v="3"/>
    <x v="4"/>
    <x v="3"/>
  </r>
  <r>
    <x v="732"/>
    <x v="11"/>
    <x v="9"/>
    <n v="32.799999999999997"/>
    <n v="164"/>
    <x v="31"/>
    <x v="32"/>
    <s v="F"/>
    <x v="2"/>
    <x v="0"/>
    <x v="0"/>
    <x v="23"/>
    <x v="2"/>
    <x v="4"/>
    <x v="2"/>
  </r>
  <r>
    <x v="733"/>
    <x v="7"/>
    <x v="7"/>
    <n v="35.700000000000003"/>
    <n v="357"/>
    <x v="31"/>
    <x v="30"/>
    <s v="F"/>
    <x v="0"/>
    <x v="1"/>
    <x v="0"/>
    <x v="6"/>
    <x v="7"/>
    <x v="4"/>
    <x v="2"/>
  </r>
  <r>
    <x v="734"/>
    <x v="9"/>
    <x v="1"/>
    <n v="54.6"/>
    <n v="109.2"/>
    <x v="31"/>
    <x v="33"/>
    <s v="F"/>
    <x v="2"/>
    <x v="0"/>
    <x v="0"/>
    <x v="6"/>
    <x v="3"/>
    <x v="4"/>
    <x v="2"/>
  </r>
  <r>
    <x v="735"/>
    <x v="8"/>
    <x v="1"/>
    <n v="35.700000000000003"/>
    <n v="71.400000000000006"/>
    <x v="31"/>
    <x v="32"/>
    <s v=""/>
    <x v="0"/>
    <x v="1"/>
    <x v="0"/>
    <x v="6"/>
    <x v="2"/>
    <x v="4"/>
    <x v="0"/>
  </r>
  <r>
    <x v="736"/>
    <x v="10"/>
    <x v="1"/>
    <n v="52.4"/>
    <n v="104.8"/>
    <x v="31"/>
    <x v="30"/>
    <s v="F"/>
    <x v="0"/>
    <x v="3"/>
    <x v="0"/>
    <x v="6"/>
    <x v="7"/>
    <x v="4"/>
    <x v="2"/>
  </r>
  <r>
    <x v="737"/>
    <x v="8"/>
    <x v="21"/>
    <n v="16.2"/>
    <n v="226.79999999999998"/>
    <x v="31"/>
    <x v="33"/>
    <s v=""/>
    <x v="0"/>
    <x v="1"/>
    <x v="0"/>
    <x v="8"/>
    <x v="3"/>
    <x v="4"/>
    <x v="0"/>
  </r>
  <r>
    <x v="738"/>
    <x v="6"/>
    <x v="35"/>
    <n v="42.8"/>
    <n v="2011.6"/>
    <x v="31"/>
    <x v="33"/>
    <s v="F"/>
    <x v="0"/>
    <x v="0"/>
    <x v="0"/>
    <x v="8"/>
    <x v="3"/>
    <x v="4"/>
    <x v="2"/>
  </r>
  <r>
    <x v="739"/>
    <x v="6"/>
    <x v="11"/>
    <n v="144.4"/>
    <n v="1299.6000000000001"/>
    <x v="31"/>
    <x v="32"/>
    <s v="F"/>
    <x v="4"/>
    <x v="0"/>
    <x v="0"/>
    <x v="8"/>
    <x v="2"/>
    <x v="4"/>
    <x v="2"/>
  </r>
  <r>
    <x v="740"/>
    <x v="3"/>
    <x v="34"/>
    <n v="30.6"/>
    <n v="1101.6000000000001"/>
    <x v="31"/>
    <x v="36"/>
    <s v="F"/>
    <x v="2"/>
    <x v="2"/>
    <x v="0"/>
    <x v="11"/>
    <x v="5"/>
    <x v="4"/>
    <x v="2"/>
  </r>
  <r>
    <x v="741"/>
    <x v="2"/>
    <x v="1"/>
    <n v="117.5"/>
    <n v="235"/>
    <x v="31"/>
    <x v="33"/>
    <s v="M"/>
    <x v="0"/>
    <x v="0"/>
    <x v="0"/>
    <x v="19"/>
    <x v="3"/>
    <x v="4"/>
    <x v="1"/>
  </r>
  <r>
    <x v="742"/>
    <x v="6"/>
    <x v="1"/>
    <n v="105.7"/>
    <n v="211.4"/>
    <x v="31"/>
    <x v="33"/>
    <s v="F"/>
    <x v="2"/>
    <x v="2"/>
    <x v="0"/>
    <x v="21"/>
    <x v="3"/>
    <x v="4"/>
    <x v="2"/>
  </r>
  <r>
    <x v="743"/>
    <x v="3"/>
    <x v="2"/>
    <n v="133.69999999999999"/>
    <n v="401.09999999999997"/>
    <x v="31"/>
    <x v="33"/>
    <s v=""/>
    <x v="4"/>
    <x v="2"/>
    <x v="0"/>
    <x v="21"/>
    <x v="3"/>
    <x v="4"/>
    <x v="0"/>
  </r>
  <r>
    <x v="744"/>
    <x v="4"/>
    <x v="9"/>
    <n v="46.8"/>
    <n v="234"/>
    <x v="32"/>
    <x v="37"/>
    <s v="F"/>
    <x v="0"/>
    <x v="1"/>
    <x v="0"/>
    <x v="21"/>
    <x v="9"/>
    <x v="5"/>
    <x v="2"/>
  </r>
  <r>
    <x v="745"/>
    <x v="10"/>
    <x v="2"/>
    <n v="58.4"/>
    <n v="175.2"/>
    <x v="32"/>
    <x v="32"/>
    <s v="F"/>
    <x v="0"/>
    <x v="0"/>
    <x v="0"/>
    <x v="1"/>
    <x v="1"/>
    <x v="5"/>
    <x v="2"/>
  </r>
  <r>
    <x v="746"/>
    <x v="6"/>
    <x v="11"/>
    <n v="65.099999999999994"/>
    <n v="585.9"/>
    <x v="32"/>
    <x v="38"/>
    <s v="M"/>
    <x v="1"/>
    <x v="2"/>
    <x v="0"/>
    <x v="22"/>
    <x v="5"/>
    <x v="5"/>
    <x v="1"/>
  </r>
  <r>
    <x v="747"/>
    <x v="8"/>
    <x v="0"/>
    <n v="18.600000000000001"/>
    <n v="18.600000000000001"/>
    <x v="32"/>
    <x v="36"/>
    <s v="F"/>
    <x v="0"/>
    <x v="4"/>
    <x v="0"/>
    <x v="22"/>
    <x v="2"/>
    <x v="5"/>
    <x v="2"/>
  </r>
  <r>
    <x v="748"/>
    <x v="1"/>
    <x v="5"/>
    <n v="92.3"/>
    <n v="1015.3"/>
    <x v="32"/>
    <x v="32"/>
    <s v="M"/>
    <x v="1"/>
    <x v="0"/>
    <x v="0"/>
    <x v="3"/>
    <x v="1"/>
    <x v="5"/>
    <x v="1"/>
  </r>
  <r>
    <x v="749"/>
    <x v="6"/>
    <x v="2"/>
    <n v="81.7"/>
    <n v="245.10000000000002"/>
    <x v="32"/>
    <x v="34"/>
    <s v=""/>
    <x v="4"/>
    <x v="4"/>
    <x v="0"/>
    <x v="3"/>
    <x v="3"/>
    <x v="5"/>
    <x v="0"/>
  </r>
  <r>
    <x v="750"/>
    <x v="8"/>
    <x v="1"/>
    <n v="40.9"/>
    <n v="81.8"/>
    <x v="32"/>
    <x v="32"/>
    <s v="M"/>
    <x v="0"/>
    <x v="1"/>
    <x v="0"/>
    <x v="3"/>
    <x v="1"/>
    <x v="5"/>
    <x v="1"/>
  </r>
  <r>
    <x v="751"/>
    <x v="6"/>
    <x v="12"/>
    <n v="43.2"/>
    <n v="172.8"/>
    <x v="32"/>
    <x v="39"/>
    <s v="F"/>
    <x v="0"/>
    <x v="1"/>
    <x v="0"/>
    <x v="3"/>
    <x v="4"/>
    <x v="5"/>
    <x v="2"/>
  </r>
  <r>
    <x v="752"/>
    <x v="8"/>
    <x v="5"/>
    <n v="25.8"/>
    <n v="283.8"/>
    <x v="32"/>
    <x v="36"/>
    <s v="M"/>
    <x v="2"/>
    <x v="1"/>
    <x v="0"/>
    <x v="3"/>
    <x v="2"/>
    <x v="5"/>
    <x v="1"/>
  </r>
  <r>
    <x v="753"/>
    <x v="15"/>
    <x v="12"/>
    <n v="36.4"/>
    <n v="145.6"/>
    <x v="32"/>
    <x v="34"/>
    <s v="M"/>
    <x v="0"/>
    <x v="0"/>
    <x v="0"/>
    <x v="3"/>
    <x v="3"/>
    <x v="5"/>
    <x v="1"/>
  </r>
  <r>
    <x v="754"/>
    <x v="10"/>
    <x v="0"/>
    <n v="59.1"/>
    <n v="59.1"/>
    <x v="32"/>
    <x v="34"/>
    <s v="F"/>
    <x v="2"/>
    <x v="0"/>
    <x v="0"/>
    <x v="7"/>
    <x v="3"/>
    <x v="5"/>
    <x v="2"/>
  </r>
  <r>
    <x v="755"/>
    <x v="2"/>
    <x v="14"/>
    <n v="74.5"/>
    <n v="1266.5"/>
    <x v="32"/>
    <x v="32"/>
    <s v="M"/>
    <x v="4"/>
    <x v="0"/>
    <x v="0"/>
    <x v="18"/>
    <x v="1"/>
    <x v="5"/>
    <x v="1"/>
  </r>
  <r>
    <x v="756"/>
    <x v="5"/>
    <x v="0"/>
    <n v="72.8"/>
    <n v="72.8"/>
    <x v="32"/>
    <x v="34"/>
    <s v="F"/>
    <x v="0"/>
    <x v="1"/>
    <x v="0"/>
    <x v="19"/>
    <x v="3"/>
    <x v="5"/>
    <x v="2"/>
  </r>
  <r>
    <x v="757"/>
    <x v="6"/>
    <x v="12"/>
    <n v="137.30000000000001"/>
    <n v="549.20000000000005"/>
    <x v="32"/>
    <x v="36"/>
    <s v="F"/>
    <x v="0"/>
    <x v="0"/>
    <x v="0"/>
    <x v="13"/>
    <x v="2"/>
    <x v="5"/>
    <x v="2"/>
  </r>
  <r>
    <x v="758"/>
    <x v="1"/>
    <x v="2"/>
    <n v="48.7"/>
    <n v="146.10000000000002"/>
    <x v="32"/>
    <x v="31"/>
    <s v="F"/>
    <x v="0"/>
    <x v="1"/>
    <x v="0"/>
    <x v="21"/>
    <x v="0"/>
    <x v="5"/>
    <x v="2"/>
  </r>
  <r>
    <x v="759"/>
    <x v="6"/>
    <x v="12"/>
    <n v="53.7"/>
    <n v="214.8"/>
    <x v="32"/>
    <x v="38"/>
    <s v="M"/>
    <x v="1"/>
    <x v="4"/>
    <x v="0"/>
    <x v="2"/>
    <x v="5"/>
    <x v="5"/>
    <x v="1"/>
  </r>
  <r>
    <x v="760"/>
    <x v="2"/>
    <x v="3"/>
    <n v="100.9"/>
    <n v="706.30000000000007"/>
    <x v="32"/>
    <x v="32"/>
    <s v="F"/>
    <x v="0"/>
    <x v="1"/>
    <x v="0"/>
    <x v="2"/>
    <x v="1"/>
    <x v="5"/>
    <x v="2"/>
  </r>
  <r>
    <x v="761"/>
    <x v="10"/>
    <x v="1"/>
    <n v="41.8"/>
    <n v="83.6"/>
    <x v="32"/>
    <x v="38"/>
    <s v="M"/>
    <x v="3"/>
    <x v="2"/>
    <x v="0"/>
    <x v="22"/>
    <x v="5"/>
    <x v="5"/>
    <x v="1"/>
  </r>
  <r>
    <x v="762"/>
    <x v="4"/>
    <x v="8"/>
    <n v="28.5"/>
    <n v="228"/>
    <x v="32"/>
    <x v="32"/>
    <s v="M"/>
    <x v="2"/>
    <x v="1"/>
    <x v="0"/>
    <x v="3"/>
    <x v="1"/>
    <x v="5"/>
    <x v="1"/>
  </r>
  <r>
    <x v="763"/>
    <x v="7"/>
    <x v="12"/>
    <n v="88.9"/>
    <n v="355.6"/>
    <x v="32"/>
    <x v="36"/>
    <s v="F"/>
    <x v="0"/>
    <x v="2"/>
    <x v="0"/>
    <x v="3"/>
    <x v="2"/>
    <x v="5"/>
    <x v="2"/>
  </r>
  <r>
    <x v="764"/>
    <x v="6"/>
    <x v="0"/>
    <n v="62.5"/>
    <n v="62.5"/>
    <x v="32"/>
    <x v="40"/>
    <s v="F"/>
    <x v="0"/>
    <x v="2"/>
    <x v="0"/>
    <x v="3"/>
    <x v="8"/>
    <x v="5"/>
    <x v="2"/>
  </r>
  <r>
    <x v="765"/>
    <x v="1"/>
    <x v="2"/>
    <n v="46.9"/>
    <n v="140.69999999999999"/>
    <x v="32"/>
    <x v="34"/>
    <s v="M"/>
    <x v="0"/>
    <x v="2"/>
    <x v="0"/>
    <x v="3"/>
    <x v="3"/>
    <x v="5"/>
    <x v="1"/>
  </r>
  <r>
    <x v="766"/>
    <x v="8"/>
    <x v="2"/>
    <n v="45"/>
    <n v="135"/>
    <x v="32"/>
    <x v="41"/>
    <s v="M"/>
    <x v="1"/>
    <x v="0"/>
    <x v="0"/>
    <x v="3"/>
    <x v="12"/>
    <x v="5"/>
    <x v="1"/>
  </r>
  <r>
    <x v="767"/>
    <x v="6"/>
    <x v="2"/>
    <n v="45.2"/>
    <n v="135.60000000000002"/>
    <x v="32"/>
    <x v="32"/>
    <s v="M"/>
    <x v="4"/>
    <x v="2"/>
    <x v="0"/>
    <x v="3"/>
    <x v="1"/>
    <x v="5"/>
    <x v="1"/>
  </r>
  <r>
    <x v="768"/>
    <x v="4"/>
    <x v="1"/>
    <n v="60.1"/>
    <n v="120.2"/>
    <x v="32"/>
    <x v="34"/>
    <s v="F"/>
    <x v="0"/>
    <x v="2"/>
    <x v="0"/>
    <x v="3"/>
    <x v="3"/>
    <x v="5"/>
    <x v="2"/>
  </r>
  <r>
    <x v="769"/>
    <x v="12"/>
    <x v="12"/>
    <n v="118.7"/>
    <n v="474.8"/>
    <x v="32"/>
    <x v="32"/>
    <s v="F"/>
    <x v="0"/>
    <x v="0"/>
    <x v="0"/>
    <x v="3"/>
    <x v="1"/>
    <x v="5"/>
    <x v="2"/>
  </r>
  <r>
    <x v="770"/>
    <x v="9"/>
    <x v="0"/>
    <n v="57.8"/>
    <n v="57.8"/>
    <x v="32"/>
    <x v="40"/>
    <s v="F"/>
    <x v="1"/>
    <x v="0"/>
    <x v="0"/>
    <x v="3"/>
    <x v="8"/>
    <x v="5"/>
    <x v="2"/>
  </r>
  <r>
    <x v="771"/>
    <x v="4"/>
    <x v="0"/>
    <n v="19.5"/>
    <n v="19.5"/>
    <x v="32"/>
    <x v="34"/>
    <s v="M"/>
    <x v="1"/>
    <x v="1"/>
    <x v="0"/>
    <x v="3"/>
    <x v="3"/>
    <x v="5"/>
    <x v="1"/>
  </r>
  <r>
    <x v="772"/>
    <x v="12"/>
    <x v="0"/>
    <n v="42.6"/>
    <n v="42.6"/>
    <x v="32"/>
    <x v="34"/>
    <s v="M"/>
    <x v="0"/>
    <x v="1"/>
    <x v="0"/>
    <x v="3"/>
    <x v="3"/>
    <x v="5"/>
    <x v="1"/>
  </r>
  <r>
    <x v="773"/>
    <x v="6"/>
    <x v="1"/>
    <n v="74.8"/>
    <n v="149.6"/>
    <x v="32"/>
    <x v="34"/>
    <s v="F"/>
    <x v="3"/>
    <x v="2"/>
    <x v="0"/>
    <x v="37"/>
    <x v="3"/>
    <x v="5"/>
    <x v="2"/>
  </r>
  <r>
    <x v="774"/>
    <x v="8"/>
    <x v="2"/>
    <n v="32.5"/>
    <n v="97.5"/>
    <x v="32"/>
    <x v="34"/>
    <s v="M"/>
    <x v="2"/>
    <x v="4"/>
    <x v="0"/>
    <x v="16"/>
    <x v="3"/>
    <x v="5"/>
    <x v="1"/>
  </r>
  <r>
    <x v="775"/>
    <x v="2"/>
    <x v="2"/>
    <n v="60.5"/>
    <n v="181.5"/>
    <x v="32"/>
    <x v="33"/>
    <s v="F"/>
    <x v="1"/>
    <x v="2"/>
    <x v="0"/>
    <x v="25"/>
    <x v="7"/>
    <x v="5"/>
    <x v="2"/>
  </r>
  <r>
    <x v="776"/>
    <x v="1"/>
    <x v="3"/>
    <n v="57.2"/>
    <n v="400.40000000000003"/>
    <x v="32"/>
    <x v="32"/>
    <s v=""/>
    <x v="2"/>
    <x v="0"/>
    <x v="0"/>
    <x v="25"/>
    <x v="1"/>
    <x v="5"/>
    <x v="0"/>
  </r>
  <r>
    <x v="777"/>
    <x v="16"/>
    <x v="1"/>
    <n v="112"/>
    <n v="224"/>
    <x v="32"/>
    <x v="34"/>
    <s v="F"/>
    <x v="1"/>
    <x v="1"/>
    <x v="0"/>
    <x v="5"/>
    <x v="3"/>
    <x v="5"/>
    <x v="2"/>
  </r>
  <r>
    <x v="778"/>
    <x v="7"/>
    <x v="7"/>
    <n v="49"/>
    <n v="490"/>
    <x v="32"/>
    <x v="34"/>
    <s v="O"/>
    <x v="2"/>
    <x v="1"/>
    <x v="0"/>
    <x v="6"/>
    <x v="3"/>
    <x v="5"/>
    <x v="3"/>
  </r>
  <r>
    <x v="779"/>
    <x v="0"/>
    <x v="1"/>
    <n v="33.700000000000003"/>
    <n v="67.400000000000006"/>
    <x v="32"/>
    <x v="38"/>
    <s v="F"/>
    <x v="3"/>
    <x v="0"/>
    <x v="0"/>
    <x v="6"/>
    <x v="5"/>
    <x v="5"/>
    <x v="2"/>
  </r>
  <r>
    <x v="780"/>
    <x v="4"/>
    <x v="2"/>
    <n v="35.6"/>
    <n v="106.80000000000001"/>
    <x v="32"/>
    <x v="36"/>
    <s v="F"/>
    <x v="0"/>
    <x v="2"/>
    <x v="0"/>
    <x v="6"/>
    <x v="2"/>
    <x v="5"/>
    <x v="2"/>
  </r>
  <r>
    <x v="781"/>
    <x v="4"/>
    <x v="36"/>
    <n v="30.4"/>
    <n v="1064"/>
    <x v="33"/>
    <x v="34"/>
    <s v="F"/>
    <x v="0"/>
    <x v="1"/>
    <x v="0"/>
    <x v="7"/>
    <x v="7"/>
    <x v="5"/>
    <x v="2"/>
  </r>
  <r>
    <x v="782"/>
    <x v="10"/>
    <x v="4"/>
    <n v="50.2"/>
    <n v="602.40000000000009"/>
    <x v="33"/>
    <x v="32"/>
    <s v="M"/>
    <x v="4"/>
    <x v="0"/>
    <x v="0"/>
    <x v="8"/>
    <x v="3"/>
    <x v="5"/>
    <x v="1"/>
  </r>
  <r>
    <x v="783"/>
    <x v="1"/>
    <x v="1"/>
    <n v="43.7"/>
    <n v="87.4"/>
    <x v="33"/>
    <x v="36"/>
    <s v="F"/>
    <x v="0"/>
    <x v="0"/>
    <x v="0"/>
    <x v="8"/>
    <x v="1"/>
    <x v="5"/>
    <x v="2"/>
  </r>
  <r>
    <x v="784"/>
    <x v="10"/>
    <x v="0"/>
    <n v="33.299999999999997"/>
    <n v="33.299999999999997"/>
    <x v="33"/>
    <x v="32"/>
    <s v="F"/>
    <x v="2"/>
    <x v="1"/>
    <x v="0"/>
    <x v="8"/>
    <x v="3"/>
    <x v="5"/>
    <x v="2"/>
  </r>
  <r>
    <x v="785"/>
    <x v="8"/>
    <x v="12"/>
    <n v="15.1"/>
    <n v="60.4"/>
    <x v="33"/>
    <x v="36"/>
    <s v="F"/>
    <x v="4"/>
    <x v="2"/>
    <x v="0"/>
    <x v="8"/>
    <x v="1"/>
    <x v="5"/>
    <x v="2"/>
  </r>
  <r>
    <x v="786"/>
    <x v="6"/>
    <x v="9"/>
    <n v="118.2"/>
    <n v="591"/>
    <x v="33"/>
    <x v="32"/>
    <s v="F"/>
    <x v="3"/>
    <x v="4"/>
    <x v="0"/>
    <x v="8"/>
    <x v="3"/>
    <x v="5"/>
    <x v="2"/>
  </r>
  <r>
    <x v="787"/>
    <x v="10"/>
    <x v="2"/>
    <n v="28.9"/>
    <n v="86.699999999999989"/>
    <x v="33"/>
    <x v="36"/>
    <s v="F"/>
    <x v="2"/>
    <x v="1"/>
    <x v="0"/>
    <x v="8"/>
    <x v="1"/>
    <x v="5"/>
    <x v="2"/>
  </r>
  <r>
    <x v="788"/>
    <x v="4"/>
    <x v="2"/>
    <n v="55.6"/>
    <n v="166.8"/>
    <x v="33"/>
    <x v="32"/>
    <s v="M"/>
    <x v="0"/>
    <x v="1"/>
    <x v="0"/>
    <x v="8"/>
    <x v="3"/>
    <x v="5"/>
    <x v="1"/>
  </r>
  <r>
    <x v="789"/>
    <x v="9"/>
    <x v="12"/>
    <n v="25.6"/>
    <n v="102.4"/>
    <x v="33"/>
    <x v="36"/>
    <s v="F"/>
    <x v="0"/>
    <x v="1"/>
    <x v="0"/>
    <x v="8"/>
    <x v="1"/>
    <x v="5"/>
    <x v="2"/>
  </r>
  <r>
    <x v="790"/>
    <x v="7"/>
    <x v="2"/>
    <n v="31.3"/>
    <n v="93.9"/>
    <x v="33"/>
    <x v="32"/>
    <s v="M"/>
    <x v="0"/>
    <x v="0"/>
    <x v="0"/>
    <x v="17"/>
    <x v="3"/>
    <x v="5"/>
    <x v="1"/>
  </r>
  <r>
    <x v="791"/>
    <x v="0"/>
    <x v="2"/>
    <n v="22.1"/>
    <n v="66.300000000000011"/>
    <x v="33"/>
    <x v="31"/>
    <s v="M"/>
    <x v="0"/>
    <x v="0"/>
    <x v="0"/>
    <x v="17"/>
    <x v="5"/>
    <x v="5"/>
    <x v="1"/>
  </r>
  <r>
    <x v="792"/>
    <x v="2"/>
    <x v="21"/>
    <n v="99.4"/>
    <n v="1391.6000000000001"/>
    <x v="33"/>
    <x v="32"/>
    <s v="M"/>
    <x v="1"/>
    <x v="0"/>
    <x v="0"/>
    <x v="11"/>
    <x v="3"/>
    <x v="5"/>
    <x v="1"/>
  </r>
  <r>
    <x v="793"/>
    <x v="7"/>
    <x v="13"/>
    <n v="66.599999999999994"/>
    <n v="399.59999999999997"/>
    <x v="33"/>
    <x v="32"/>
    <s v="F"/>
    <x v="0"/>
    <x v="0"/>
    <x v="0"/>
    <x v="11"/>
    <x v="3"/>
    <x v="5"/>
    <x v="2"/>
  </r>
  <r>
    <x v="794"/>
    <x v="8"/>
    <x v="1"/>
    <n v="22.6"/>
    <n v="45.2"/>
    <x v="33"/>
    <x v="38"/>
    <s v="M"/>
    <x v="0"/>
    <x v="0"/>
    <x v="0"/>
    <x v="11"/>
    <x v="2"/>
    <x v="5"/>
    <x v="1"/>
  </r>
  <r>
    <x v="795"/>
    <x v="2"/>
    <x v="16"/>
    <n v="66.8"/>
    <n v="1202.3999999999999"/>
    <x v="33"/>
    <x v="32"/>
    <s v="F"/>
    <x v="0"/>
    <x v="4"/>
    <x v="0"/>
    <x v="13"/>
    <x v="3"/>
    <x v="5"/>
    <x v="2"/>
  </r>
  <r>
    <x v="796"/>
    <x v="0"/>
    <x v="12"/>
    <n v="20.8"/>
    <n v="83.2"/>
    <x v="33"/>
    <x v="37"/>
    <s v="M"/>
    <x v="1"/>
    <x v="4"/>
    <x v="0"/>
    <x v="1"/>
    <x v="6"/>
    <x v="5"/>
    <x v="1"/>
  </r>
  <r>
    <x v="797"/>
    <x v="2"/>
    <x v="3"/>
    <n v="102.5"/>
    <n v="717.5"/>
    <x v="33"/>
    <x v="32"/>
    <s v="F"/>
    <x v="4"/>
    <x v="2"/>
    <x v="0"/>
    <x v="3"/>
    <x v="3"/>
    <x v="5"/>
    <x v="2"/>
  </r>
  <r>
    <x v="798"/>
    <x v="0"/>
    <x v="16"/>
    <n v="24.8"/>
    <n v="446.40000000000003"/>
    <x v="33"/>
    <x v="31"/>
    <s v="F"/>
    <x v="0"/>
    <x v="0"/>
    <x v="0"/>
    <x v="3"/>
    <x v="5"/>
    <x v="5"/>
    <x v="2"/>
  </r>
  <r>
    <x v="799"/>
    <x v="4"/>
    <x v="37"/>
    <n v="31.4"/>
    <n v="973.4"/>
    <x v="33"/>
    <x v="32"/>
    <s v="F"/>
    <x v="3"/>
    <x v="0"/>
    <x v="0"/>
    <x v="3"/>
    <x v="3"/>
    <x v="5"/>
    <x v="2"/>
  </r>
  <r>
    <x v="800"/>
    <x v="9"/>
    <x v="9"/>
    <n v="59.3"/>
    <n v="296.5"/>
    <x v="33"/>
    <x v="38"/>
    <s v="M"/>
    <x v="1"/>
    <x v="2"/>
    <x v="0"/>
    <x v="43"/>
    <x v="2"/>
    <x v="5"/>
    <x v="1"/>
  </r>
  <r>
    <x v="801"/>
    <x v="11"/>
    <x v="13"/>
    <n v="39"/>
    <n v="234"/>
    <x v="33"/>
    <x v="38"/>
    <s v="M"/>
    <x v="1"/>
    <x v="0"/>
    <x v="0"/>
    <x v="6"/>
    <x v="2"/>
    <x v="5"/>
    <x v="1"/>
  </r>
  <r>
    <x v="802"/>
    <x v="5"/>
    <x v="13"/>
    <n v="98.6"/>
    <n v="591.59999999999991"/>
    <x v="33"/>
    <x v="36"/>
    <s v="F"/>
    <x v="1"/>
    <x v="0"/>
    <x v="0"/>
    <x v="6"/>
    <x v="1"/>
    <x v="5"/>
    <x v="2"/>
  </r>
  <r>
    <x v="803"/>
    <x v="8"/>
    <x v="0"/>
    <n v="20"/>
    <n v="20"/>
    <x v="34"/>
    <x v="36"/>
    <s v="M"/>
    <x v="3"/>
    <x v="2"/>
    <x v="0"/>
    <x v="8"/>
    <x v="3"/>
    <x v="5"/>
    <x v="1"/>
  </r>
  <r>
    <x v="804"/>
    <x v="1"/>
    <x v="1"/>
    <n v="42.9"/>
    <n v="85.8"/>
    <x v="34"/>
    <x v="38"/>
    <s v="F"/>
    <x v="0"/>
    <x v="2"/>
    <x v="0"/>
    <x v="8"/>
    <x v="1"/>
    <x v="5"/>
    <x v="2"/>
  </r>
  <r>
    <x v="805"/>
    <x v="7"/>
    <x v="3"/>
    <n v="55.6"/>
    <n v="389.2"/>
    <x v="34"/>
    <x v="38"/>
    <s v="F"/>
    <x v="2"/>
    <x v="1"/>
    <x v="0"/>
    <x v="8"/>
    <x v="1"/>
    <x v="5"/>
    <x v="2"/>
  </r>
  <r>
    <x v="806"/>
    <x v="8"/>
    <x v="12"/>
    <n v="19.2"/>
    <n v="76.8"/>
    <x v="34"/>
    <x v="35"/>
    <s v="F"/>
    <x v="0"/>
    <x v="0"/>
    <x v="0"/>
    <x v="41"/>
    <x v="0"/>
    <x v="5"/>
    <x v="2"/>
  </r>
  <r>
    <x v="807"/>
    <x v="5"/>
    <x v="1"/>
    <n v="28.8"/>
    <n v="57.6"/>
    <x v="34"/>
    <x v="38"/>
    <s v="M"/>
    <x v="1"/>
    <x v="0"/>
    <x v="0"/>
    <x v="18"/>
    <x v="1"/>
    <x v="5"/>
    <x v="1"/>
  </r>
  <r>
    <x v="808"/>
    <x v="4"/>
    <x v="0"/>
    <n v="29.7"/>
    <n v="29.7"/>
    <x v="34"/>
    <x v="38"/>
    <s v="F"/>
    <x v="2"/>
    <x v="4"/>
    <x v="0"/>
    <x v="20"/>
    <x v="1"/>
    <x v="5"/>
    <x v="2"/>
  </r>
  <r>
    <x v="809"/>
    <x v="6"/>
    <x v="13"/>
    <n v="63.3"/>
    <n v="379.79999999999995"/>
    <x v="34"/>
    <x v="36"/>
    <s v=""/>
    <x v="0"/>
    <x v="2"/>
    <x v="0"/>
    <x v="21"/>
    <x v="3"/>
    <x v="5"/>
    <x v="0"/>
  </r>
  <r>
    <x v="810"/>
    <x v="4"/>
    <x v="0"/>
    <n v="46"/>
    <n v="46"/>
    <x v="34"/>
    <x v="36"/>
    <s v="F"/>
    <x v="0"/>
    <x v="2"/>
    <x v="0"/>
    <x v="21"/>
    <x v="3"/>
    <x v="5"/>
    <x v="2"/>
  </r>
  <r>
    <x v="811"/>
    <x v="11"/>
    <x v="2"/>
    <n v="38"/>
    <n v="114"/>
    <x v="34"/>
    <x v="38"/>
    <s v="F"/>
    <x v="1"/>
    <x v="2"/>
    <x v="0"/>
    <x v="21"/>
    <x v="1"/>
    <x v="5"/>
    <x v="2"/>
  </r>
  <r>
    <x v="812"/>
    <x v="10"/>
    <x v="15"/>
    <n v="34.6"/>
    <n v="449.8"/>
    <x v="34"/>
    <x v="38"/>
    <s v="F"/>
    <x v="0"/>
    <x v="1"/>
    <x v="0"/>
    <x v="21"/>
    <x v="1"/>
    <x v="5"/>
    <x v="2"/>
  </r>
  <r>
    <x v="813"/>
    <x v="3"/>
    <x v="7"/>
    <n v="79.7"/>
    <n v="797"/>
    <x v="34"/>
    <x v="36"/>
    <s v="F"/>
    <x v="4"/>
    <x v="1"/>
    <x v="0"/>
    <x v="21"/>
    <x v="3"/>
    <x v="5"/>
    <x v="2"/>
  </r>
  <r>
    <x v="814"/>
    <x v="8"/>
    <x v="8"/>
    <n v="30.5"/>
    <n v="244"/>
    <x v="34"/>
    <x v="39"/>
    <s v="M"/>
    <x v="3"/>
    <x v="0"/>
    <x v="0"/>
    <x v="1"/>
    <x v="5"/>
    <x v="5"/>
    <x v="1"/>
  </r>
  <r>
    <x v="815"/>
    <x v="0"/>
    <x v="1"/>
    <n v="20.8"/>
    <n v="41.6"/>
    <x v="34"/>
    <x v="36"/>
    <s v="F"/>
    <x v="0"/>
    <x v="0"/>
    <x v="0"/>
    <x v="2"/>
    <x v="3"/>
    <x v="5"/>
    <x v="2"/>
  </r>
  <r>
    <x v="816"/>
    <x v="11"/>
    <x v="3"/>
    <n v="48.5"/>
    <n v="339.5"/>
    <x v="34"/>
    <x v="39"/>
    <s v="F"/>
    <x v="2"/>
    <x v="2"/>
    <x v="0"/>
    <x v="2"/>
    <x v="5"/>
    <x v="5"/>
    <x v="2"/>
  </r>
  <r>
    <x v="817"/>
    <x v="2"/>
    <x v="12"/>
    <n v="61.8"/>
    <n v="247.2"/>
    <x v="34"/>
    <x v="39"/>
    <s v="F"/>
    <x v="4"/>
    <x v="0"/>
    <x v="0"/>
    <x v="22"/>
    <x v="5"/>
    <x v="5"/>
    <x v="2"/>
  </r>
  <r>
    <x v="818"/>
    <x v="10"/>
    <x v="0"/>
    <n v="46.1"/>
    <n v="46.1"/>
    <x v="34"/>
    <x v="36"/>
    <s v="O"/>
    <x v="2"/>
    <x v="0"/>
    <x v="0"/>
    <x v="3"/>
    <x v="3"/>
    <x v="5"/>
    <x v="3"/>
  </r>
  <r>
    <x v="819"/>
    <x v="4"/>
    <x v="13"/>
    <n v="44"/>
    <n v="264"/>
    <x v="34"/>
    <x v="36"/>
    <s v="F"/>
    <x v="0"/>
    <x v="0"/>
    <x v="0"/>
    <x v="3"/>
    <x v="3"/>
    <x v="5"/>
    <x v="2"/>
  </r>
  <r>
    <x v="820"/>
    <x v="18"/>
    <x v="1"/>
    <n v="95.7"/>
    <n v="191.4"/>
    <x v="34"/>
    <x v="37"/>
    <s v="F"/>
    <x v="3"/>
    <x v="2"/>
    <x v="0"/>
    <x v="3"/>
    <x v="4"/>
    <x v="5"/>
    <x v="2"/>
  </r>
  <r>
    <x v="821"/>
    <x v="7"/>
    <x v="9"/>
    <n v="46.4"/>
    <n v="232"/>
    <x v="34"/>
    <x v="31"/>
    <s v="F"/>
    <x v="0"/>
    <x v="0"/>
    <x v="0"/>
    <x v="3"/>
    <x v="2"/>
    <x v="5"/>
    <x v="2"/>
  </r>
  <r>
    <x v="822"/>
    <x v="6"/>
    <x v="1"/>
    <n v="47.2"/>
    <n v="94.4"/>
    <x v="34"/>
    <x v="38"/>
    <s v="F"/>
    <x v="0"/>
    <x v="2"/>
    <x v="0"/>
    <x v="3"/>
    <x v="1"/>
    <x v="5"/>
    <x v="2"/>
  </r>
  <r>
    <x v="823"/>
    <x v="7"/>
    <x v="1"/>
    <n v="58.6"/>
    <n v="117.2"/>
    <x v="34"/>
    <x v="36"/>
    <s v="F"/>
    <x v="2"/>
    <x v="1"/>
    <x v="0"/>
    <x v="3"/>
    <x v="3"/>
    <x v="5"/>
    <x v="2"/>
  </r>
  <r>
    <x v="824"/>
    <x v="4"/>
    <x v="2"/>
    <n v="57"/>
    <n v="171"/>
    <x v="34"/>
    <x v="36"/>
    <s v="M"/>
    <x v="0"/>
    <x v="2"/>
    <x v="0"/>
    <x v="3"/>
    <x v="3"/>
    <x v="5"/>
    <x v="1"/>
  </r>
  <r>
    <x v="825"/>
    <x v="8"/>
    <x v="12"/>
    <n v="28.9"/>
    <n v="115.6"/>
    <x v="34"/>
    <x v="39"/>
    <s v="M"/>
    <x v="2"/>
    <x v="0"/>
    <x v="0"/>
    <x v="3"/>
    <x v="5"/>
    <x v="5"/>
    <x v="1"/>
  </r>
  <r>
    <x v="826"/>
    <x v="12"/>
    <x v="9"/>
    <n v="60.7"/>
    <n v="303.5"/>
    <x v="34"/>
    <x v="39"/>
    <s v=""/>
    <x v="1"/>
    <x v="1"/>
    <x v="0"/>
    <x v="3"/>
    <x v="5"/>
    <x v="5"/>
    <x v="0"/>
  </r>
  <r>
    <x v="827"/>
    <x v="6"/>
    <x v="9"/>
    <n v="60.8"/>
    <n v="304"/>
    <x v="34"/>
    <x v="39"/>
    <s v="M"/>
    <x v="0"/>
    <x v="1"/>
    <x v="0"/>
    <x v="3"/>
    <x v="5"/>
    <x v="5"/>
    <x v="1"/>
  </r>
  <r>
    <x v="828"/>
    <x v="6"/>
    <x v="9"/>
    <n v="64.599999999999994"/>
    <n v="323"/>
    <x v="34"/>
    <x v="36"/>
    <s v="F"/>
    <x v="3"/>
    <x v="0"/>
    <x v="0"/>
    <x v="3"/>
    <x v="3"/>
    <x v="5"/>
    <x v="2"/>
  </r>
  <r>
    <x v="829"/>
    <x v="8"/>
    <x v="0"/>
    <n v="21.9"/>
    <n v="21.9"/>
    <x v="34"/>
    <x v="31"/>
    <s v="M"/>
    <x v="1"/>
    <x v="2"/>
    <x v="0"/>
    <x v="4"/>
    <x v="2"/>
    <x v="5"/>
    <x v="1"/>
  </r>
  <r>
    <x v="830"/>
    <x v="4"/>
    <x v="4"/>
    <n v="33.4"/>
    <n v="400.79999999999995"/>
    <x v="34"/>
    <x v="38"/>
    <s v="F"/>
    <x v="0"/>
    <x v="0"/>
    <x v="0"/>
    <x v="23"/>
    <x v="1"/>
    <x v="5"/>
    <x v="2"/>
  </r>
  <r>
    <x v="831"/>
    <x v="2"/>
    <x v="0"/>
    <n v="51.7"/>
    <n v="51.7"/>
    <x v="34"/>
    <x v="36"/>
    <s v=""/>
    <x v="0"/>
    <x v="0"/>
    <x v="0"/>
    <x v="6"/>
    <x v="3"/>
    <x v="5"/>
    <x v="0"/>
  </r>
  <r>
    <x v="832"/>
    <x v="1"/>
    <x v="12"/>
    <n v="84.9"/>
    <n v="339.6"/>
    <x v="34"/>
    <x v="36"/>
    <s v="F"/>
    <x v="1"/>
    <x v="1"/>
    <x v="0"/>
    <x v="6"/>
    <x v="3"/>
    <x v="5"/>
    <x v="2"/>
  </r>
  <r>
    <x v="833"/>
    <x v="1"/>
    <x v="5"/>
    <n v="62.3"/>
    <n v="685.3"/>
    <x v="34"/>
    <x v="36"/>
    <s v="F"/>
    <x v="2"/>
    <x v="2"/>
    <x v="0"/>
    <x v="7"/>
    <x v="3"/>
    <x v="5"/>
    <x v="2"/>
  </r>
  <r>
    <x v="834"/>
    <x v="4"/>
    <x v="0"/>
    <n v="50.7"/>
    <n v="50.7"/>
    <x v="34"/>
    <x v="38"/>
    <s v="M"/>
    <x v="2"/>
    <x v="2"/>
    <x v="0"/>
    <x v="8"/>
    <x v="1"/>
    <x v="5"/>
    <x v="1"/>
  </r>
  <r>
    <x v="835"/>
    <x v="18"/>
    <x v="0"/>
    <n v="39.5"/>
    <n v="39.5"/>
    <x v="34"/>
    <x v="36"/>
    <s v="M"/>
    <x v="4"/>
    <x v="1"/>
    <x v="0"/>
    <x v="8"/>
    <x v="3"/>
    <x v="5"/>
    <x v="1"/>
  </r>
  <r>
    <x v="836"/>
    <x v="12"/>
    <x v="2"/>
    <n v="30.9"/>
    <n v="92.699999999999989"/>
    <x v="34"/>
    <x v="36"/>
    <s v=""/>
    <x v="4"/>
    <x v="2"/>
    <x v="0"/>
    <x v="8"/>
    <x v="3"/>
    <x v="5"/>
    <x v="0"/>
  </r>
  <r>
    <x v="837"/>
    <x v="1"/>
    <x v="3"/>
    <n v="36.4"/>
    <n v="254.79999999999998"/>
    <x v="34"/>
    <x v="31"/>
    <s v="F"/>
    <x v="0"/>
    <x v="2"/>
    <x v="0"/>
    <x v="8"/>
    <x v="2"/>
    <x v="5"/>
    <x v="2"/>
  </r>
  <r>
    <x v="838"/>
    <x v="6"/>
    <x v="8"/>
    <n v="105.6"/>
    <n v="844.8"/>
    <x v="34"/>
    <x v="42"/>
    <s v="F"/>
    <x v="0"/>
    <x v="0"/>
    <x v="0"/>
    <x v="8"/>
    <x v="14"/>
    <x v="5"/>
    <x v="2"/>
  </r>
  <r>
    <x v="839"/>
    <x v="8"/>
    <x v="1"/>
    <n v="22.1"/>
    <n v="44.2"/>
    <x v="34"/>
    <x v="36"/>
    <s v="F"/>
    <x v="0"/>
    <x v="2"/>
    <x v="0"/>
    <x v="17"/>
    <x v="3"/>
    <x v="5"/>
    <x v="2"/>
  </r>
  <r>
    <x v="840"/>
    <x v="0"/>
    <x v="2"/>
    <n v="22.6"/>
    <n v="67.800000000000011"/>
    <x v="34"/>
    <x v="36"/>
    <s v="F"/>
    <x v="2"/>
    <x v="0"/>
    <x v="0"/>
    <x v="17"/>
    <x v="3"/>
    <x v="5"/>
    <x v="2"/>
  </r>
  <r>
    <x v="841"/>
    <x v="10"/>
    <x v="13"/>
    <n v="26.3"/>
    <n v="157.80000000000001"/>
    <x v="34"/>
    <x v="32"/>
    <s v="F"/>
    <x v="2"/>
    <x v="0"/>
    <x v="0"/>
    <x v="9"/>
    <x v="7"/>
    <x v="5"/>
    <x v="2"/>
  </r>
  <r>
    <x v="842"/>
    <x v="1"/>
    <x v="12"/>
    <n v="37.799999999999997"/>
    <n v="151.19999999999999"/>
    <x v="34"/>
    <x v="36"/>
    <s v="F"/>
    <x v="0"/>
    <x v="2"/>
    <x v="0"/>
    <x v="11"/>
    <x v="3"/>
    <x v="5"/>
    <x v="2"/>
  </r>
  <r>
    <x v="843"/>
    <x v="6"/>
    <x v="14"/>
    <n v="96"/>
    <n v="1632"/>
    <x v="34"/>
    <x v="31"/>
    <s v="F"/>
    <x v="4"/>
    <x v="1"/>
    <x v="0"/>
    <x v="18"/>
    <x v="2"/>
    <x v="5"/>
    <x v="2"/>
  </r>
  <r>
    <x v="844"/>
    <x v="1"/>
    <x v="0"/>
    <n v="83.6"/>
    <n v="83.6"/>
    <x v="34"/>
    <x v="31"/>
    <s v="F"/>
    <x v="2"/>
    <x v="1"/>
    <x v="0"/>
    <x v="19"/>
    <x v="2"/>
    <x v="5"/>
    <x v="2"/>
  </r>
  <r>
    <x v="845"/>
    <x v="2"/>
    <x v="13"/>
    <n v="72.599999999999994"/>
    <n v="435.59999999999997"/>
    <x v="34"/>
    <x v="36"/>
    <s v="F"/>
    <x v="0"/>
    <x v="0"/>
    <x v="0"/>
    <x v="21"/>
    <x v="3"/>
    <x v="5"/>
    <x v="2"/>
  </r>
  <r>
    <x v="846"/>
    <x v="5"/>
    <x v="28"/>
    <n v="69.099999999999994"/>
    <n v="1382"/>
    <x v="35"/>
    <x v="40"/>
    <s v="M"/>
    <x v="0"/>
    <x v="2"/>
    <x v="0"/>
    <x v="21"/>
    <x v="4"/>
    <x v="5"/>
    <x v="1"/>
  </r>
  <r>
    <x v="847"/>
    <x v="4"/>
    <x v="1"/>
    <n v="22.6"/>
    <n v="45.2"/>
    <x v="35"/>
    <x v="31"/>
    <s v="F"/>
    <x v="1"/>
    <x v="2"/>
    <x v="0"/>
    <x v="21"/>
    <x v="1"/>
    <x v="5"/>
    <x v="2"/>
  </r>
  <r>
    <x v="848"/>
    <x v="6"/>
    <x v="1"/>
    <n v="45.3"/>
    <n v="90.6"/>
    <x v="35"/>
    <x v="35"/>
    <s v="M"/>
    <x v="4"/>
    <x v="2"/>
    <x v="0"/>
    <x v="21"/>
    <x v="5"/>
    <x v="5"/>
    <x v="1"/>
  </r>
  <r>
    <x v="849"/>
    <x v="2"/>
    <x v="1"/>
    <n v="115.1"/>
    <n v="230.2"/>
    <x v="35"/>
    <x v="38"/>
    <s v="F"/>
    <x v="1"/>
    <x v="0"/>
    <x v="0"/>
    <x v="1"/>
    <x v="3"/>
    <x v="5"/>
    <x v="2"/>
  </r>
  <r>
    <x v="850"/>
    <x v="18"/>
    <x v="12"/>
    <n v="79"/>
    <n v="316"/>
    <x v="35"/>
    <x v="31"/>
    <s v="M"/>
    <x v="2"/>
    <x v="4"/>
    <x v="0"/>
    <x v="1"/>
    <x v="1"/>
    <x v="5"/>
    <x v="1"/>
  </r>
  <r>
    <x v="851"/>
    <x v="6"/>
    <x v="9"/>
    <n v="52.8"/>
    <n v="264"/>
    <x v="35"/>
    <x v="38"/>
    <s v="F"/>
    <x v="0"/>
    <x v="0"/>
    <x v="0"/>
    <x v="42"/>
    <x v="3"/>
    <x v="5"/>
    <x v="2"/>
  </r>
  <r>
    <x v="852"/>
    <x v="8"/>
    <x v="1"/>
    <n v="34.1"/>
    <n v="68.2"/>
    <x v="35"/>
    <x v="38"/>
    <s v="M"/>
    <x v="3"/>
    <x v="2"/>
    <x v="0"/>
    <x v="44"/>
    <x v="3"/>
    <x v="5"/>
    <x v="1"/>
  </r>
  <r>
    <x v="853"/>
    <x v="6"/>
    <x v="9"/>
    <n v="107.9"/>
    <n v="539.5"/>
    <x v="35"/>
    <x v="36"/>
    <s v="F"/>
    <x v="0"/>
    <x v="2"/>
    <x v="0"/>
    <x v="50"/>
    <x v="7"/>
    <x v="5"/>
    <x v="2"/>
  </r>
  <r>
    <x v="854"/>
    <x v="8"/>
    <x v="15"/>
    <n v="48.5"/>
    <n v="630.5"/>
    <x v="35"/>
    <x v="36"/>
    <s v="M"/>
    <x v="2"/>
    <x v="2"/>
    <x v="0"/>
    <x v="3"/>
    <x v="7"/>
    <x v="5"/>
    <x v="1"/>
  </r>
  <r>
    <x v="855"/>
    <x v="5"/>
    <x v="2"/>
    <n v="34.700000000000003"/>
    <n v="104.10000000000001"/>
    <x v="35"/>
    <x v="38"/>
    <s v=""/>
    <x v="4"/>
    <x v="1"/>
    <x v="0"/>
    <x v="3"/>
    <x v="3"/>
    <x v="5"/>
    <x v="0"/>
  </r>
  <r>
    <x v="856"/>
    <x v="8"/>
    <x v="0"/>
    <n v="16.8"/>
    <n v="16.8"/>
    <x v="35"/>
    <x v="31"/>
    <s v="F"/>
    <x v="3"/>
    <x v="0"/>
    <x v="0"/>
    <x v="3"/>
    <x v="1"/>
    <x v="5"/>
    <x v="2"/>
  </r>
  <r>
    <x v="857"/>
    <x v="8"/>
    <x v="13"/>
    <n v="18.3"/>
    <n v="109.80000000000001"/>
    <x v="35"/>
    <x v="39"/>
    <s v="F"/>
    <x v="0"/>
    <x v="0"/>
    <x v="0"/>
    <x v="3"/>
    <x v="2"/>
    <x v="5"/>
    <x v="2"/>
  </r>
  <r>
    <x v="858"/>
    <x v="18"/>
    <x v="2"/>
    <n v="55.9"/>
    <n v="167.7"/>
    <x v="35"/>
    <x v="40"/>
    <s v="M"/>
    <x v="3"/>
    <x v="1"/>
    <x v="0"/>
    <x v="3"/>
    <x v="4"/>
    <x v="5"/>
    <x v="1"/>
  </r>
  <r>
    <x v="859"/>
    <x v="8"/>
    <x v="2"/>
    <n v="39.200000000000003"/>
    <n v="117.60000000000001"/>
    <x v="35"/>
    <x v="31"/>
    <s v="F"/>
    <x v="0"/>
    <x v="1"/>
    <x v="0"/>
    <x v="3"/>
    <x v="1"/>
    <x v="5"/>
    <x v="2"/>
  </r>
  <r>
    <x v="860"/>
    <x v="15"/>
    <x v="12"/>
    <n v="66.5"/>
    <n v="266"/>
    <x v="35"/>
    <x v="31"/>
    <s v=""/>
    <x v="3"/>
    <x v="1"/>
    <x v="0"/>
    <x v="3"/>
    <x v="1"/>
    <x v="5"/>
    <x v="0"/>
  </r>
  <r>
    <x v="861"/>
    <x v="6"/>
    <x v="13"/>
    <n v="52.1"/>
    <n v="312.60000000000002"/>
    <x v="35"/>
    <x v="31"/>
    <s v="M"/>
    <x v="1"/>
    <x v="1"/>
    <x v="0"/>
    <x v="16"/>
    <x v="1"/>
    <x v="5"/>
    <x v="1"/>
  </r>
  <r>
    <x v="862"/>
    <x v="8"/>
    <x v="1"/>
    <n v="19"/>
    <n v="38"/>
    <x v="35"/>
    <x v="38"/>
    <s v="M"/>
    <x v="4"/>
    <x v="2"/>
    <x v="0"/>
    <x v="6"/>
    <x v="3"/>
    <x v="5"/>
    <x v="1"/>
  </r>
  <r>
    <x v="863"/>
    <x v="7"/>
    <x v="2"/>
    <n v="84.8"/>
    <n v="254.39999999999998"/>
    <x v="35"/>
    <x v="31"/>
    <s v="F"/>
    <x v="2"/>
    <x v="0"/>
    <x v="0"/>
    <x v="8"/>
    <x v="1"/>
    <x v="5"/>
    <x v="2"/>
  </r>
  <r>
    <x v="864"/>
    <x v="2"/>
    <x v="12"/>
    <n v="63.9"/>
    <n v="255.6"/>
    <x v="35"/>
    <x v="39"/>
    <s v="F"/>
    <x v="0"/>
    <x v="0"/>
    <x v="0"/>
    <x v="8"/>
    <x v="2"/>
    <x v="5"/>
    <x v="2"/>
  </r>
  <r>
    <x v="865"/>
    <x v="2"/>
    <x v="2"/>
    <n v="65.5"/>
    <n v="196.5"/>
    <x v="35"/>
    <x v="36"/>
    <s v="F"/>
    <x v="1"/>
    <x v="1"/>
    <x v="0"/>
    <x v="8"/>
    <x v="7"/>
    <x v="5"/>
    <x v="2"/>
  </r>
  <r>
    <x v="866"/>
    <x v="12"/>
    <x v="1"/>
    <n v="116.2"/>
    <n v="232.4"/>
    <x v="35"/>
    <x v="40"/>
    <s v="M"/>
    <x v="3"/>
    <x v="0"/>
    <x v="0"/>
    <x v="17"/>
    <x v="4"/>
    <x v="5"/>
    <x v="1"/>
  </r>
  <r>
    <x v="867"/>
    <x v="10"/>
    <x v="12"/>
    <n v="22.9"/>
    <n v="91.6"/>
    <x v="35"/>
    <x v="31"/>
    <s v="F"/>
    <x v="2"/>
    <x v="1"/>
    <x v="0"/>
    <x v="38"/>
    <x v="1"/>
    <x v="5"/>
    <x v="2"/>
  </r>
  <r>
    <x v="868"/>
    <x v="10"/>
    <x v="2"/>
    <n v="53.7"/>
    <n v="161.10000000000002"/>
    <x v="35"/>
    <x v="38"/>
    <s v="M"/>
    <x v="0"/>
    <x v="4"/>
    <x v="0"/>
    <x v="18"/>
    <x v="3"/>
    <x v="5"/>
    <x v="1"/>
  </r>
  <r>
    <x v="869"/>
    <x v="6"/>
    <x v="9"/>
    <n v="43.2"/>
    <n v="216"/>
    <x v="35"/>
    <x v="31"/>
    <s v="F"/>
    <x v="0"/>
    <x v="0"/>
    <x v="0"/>
    <x v="19"/>
    <x v="1"/>
    <x v="5"/>
    <x v="2"/>
  </r>
  <r>
    <x v="870"/>
    <x v="1"/>
    <x v="2"/>
    <n v="84.5"/>
    <n v="253.5"/>
    <x v="35"/>
    <x v="31"/>
    <s v="M"/>
    <x v="2"/>
    <x v="2"/>
    <x v="0"/>
    <x v="51"/>
    <x v="1"/>
    <x v="5"/>
    <x v="1"/>
  </r>
  <r>
    <x v="871"/>
    <x v="3"/>
    <x v="1"/>
    <n v="42.2"/>
    <n v="84.4"/>
    <x v="35"/>
    <x v="38"/>
    <s v="F"/>
    <x v="1"/>
    <x v="2"/>
    <x v="0"/>
    <x v="1"/>
    <x v="3"/>
    <x v="5"/>
    <x v="2"/>
  </r>
  <r>
    <x v="872"/>
    <x v="2"/>
    <x v="13"/>
    <n v="94.7"/>
    <n v="568.20000000000005"/>
    <x v="35"/>
    <x v="39"/>
    <s v="F"/>
    <x v="1"/>
    <x v="2"/>
    <x v="0"/>
    <x v="2"/>
    <x v="2"/>
    <x v="5"/>
    <x v="2"/>
  </r>
  <r>
    <x v="873"/>
    <x v="8"/>
    <x v="16"/>
    <n v="16.7"/>
    <n v="300.59999999999997"/>
    <x v="35"/>
    <x v="43"/>
    <s v="F"/>
    <x v="0"/>
    <x v="2"/>
    <x v="0"/>
    <x v="2"/>
    <x v="13"/>
    <x v="5"/>
    <x v="2"/>
  </r>
  <r>
    <x v="874"/>
    <x v="2"/>
    <x v="1"/>
    <n v="83.6"/>
    <n v="167.2"/>
    <x v="35"/>
    <x v="40"/>
    <s v="F"/>
    <x v="1"/>
    <x v="0"/>
    <x v="0"/>
    <x v="3"/>
    <x v="4"/>
    <x v="5"/>
    <x v="2"/>
  </r>
  <r>
    <x v="875"/>
    <x v="7"/>
    <x v="13"/>
    <n v="33.6"/>
    <n v="201.60000000000002"/>
    <x v="36"/>
    <x v="31"/>
    <s v="F"/>
    <x v="3"/>
    <x v="0"/>
    <x v="0"/>
    <x v="3"/>
    <x v="3"/>
    <x v="5"/>
    <x v="2"/>
  </r>
  <r>
    <x v="876"/>
    <x v="7"/>
    <x v="1"/>
    <n v="64.7"/>
    <n v="129.4"/>
    <x v="36"/>
    <x v="39"/>
    <s v="M"/>
    <x v="1"/>
    <x v="2"/>
    <x v="0"/>
    <x v="3"/>
    <x v="1"/>
    <x v="5"/>
    <x v="1"/>
  </r>
  <r>
    <x v="877"/>
    <x v="0"/>
    <x v="2"/>
    <n v="15.7"/>
    <n v="47.099999999999994"/>
    <x v="36"/>
    <x v="44"/>
    <s v="F"/>
    <x v="0"/>
    <x v="0"/>
    <x v="0"/>
    <x v="3"/>
    <x v="4"/>
    <x v="5"/>
    <x v="2"/>
  </r>
  <r>
    <x v="878"/>
    <x v="15"/>
    <x v="13"/>
    <n v="49.4"/>
    <n v="296.39999999999998"/>
    <x v="36"/>
    <x v="38"/>
    <s v="M"/>
    <x v="1"/>
    <x v="0"/>
    <x v="0"/>
    <x v="3"/>
    <x v="7"/>
    <x v="5"/>
    <x v="1"/>
  </r>
  <r>
    <x v="879"/>
    <x v="10"/>
    <x v="13"/>
    <n v="37"/>
    <n v="222"/>
    <x v="36"/>
    <x v="35"/>
    <s v="F"/>
    <x v="1"/>
    <x v="2"/>
    <x v="0"/>
    <x v="3"/>
    <x v="2"/>
    <x v="5"/>
    <x v="2"/>
  </r>
  <r>
    <x v="880"/>
    <x v="2"/>
    <x v="1"/>
    <n v="83.7"/>
    <n v="167.4"/>
    <x v="36"/>
    <x v="39"/>
    <s v="F"/>
    <x v="3"/>
    <x v="2"/>
    <x v="0"/>
    <x v="3"/>
    <x v="1"/>
    <x v="5"/>
    <x v="2"/>
  </r>
  <r>
    <x v="881"/>
    <x v="1"/>
    <x v="9"/>
    <n v="35.1"/>
    <n v="175.5"/>
    <x v="36"/>
    <x v="31"/>
    <s v="F"/>
    <x v="0"/>
    <x v="0"/>
    <x v="0"/>
    <x v="3"/>
    <x v="3"/>
    <x v="5"/>
    <x v="2"/>
  </r>
  <r>
    <x v="882"/>
    <x v="16"/>
    <x v="8"/>
    <n v="74"/>
    <n v="592"/>
    <x v="36"/>
    <x v="31"/>
    <s v="F"/>
    <x v="4"/>
    <x v="0"/>
    <x v="0"/>
    <x v="37"/>
    <x v="3"/>
    <x v="5"/>
    <x v="2"/>
  </r>
  <r>
    <x v="883"/>
    <x v="6"/>
    <x v="25"/>
    <n v="55.5"/>
    <n v="1332"/>
    <x v="36"/>
    <x v="35"/>
    <s v="M"/>
    <x v="3"/>
    <x v="0"/>
    <x v="0"/>
    <x v="49"/>
    <x v="2"/>
    <x v="5"/>
    <x v="1"/>
  </r>
  <r>
    <x v="884"/>
    <x v="11"/>
    <x v="1"/>
    <n v="38.9"/>
    <n v="77.8"/>
    <x v="36"/>
    <x v="39"/>
    <s v="F"/>
    <x v="1"/>
    <x v="2"/>
    <x v="0"/>
    <x v="25"/>
    <x v="1"/>
    <x v="5"/>
    <x v="2"/>
  </r>
  <r>
    <x v="885"/>
    <x v="16"/>
    <x v="1"/>
    <n v="64.599999999999994"/>
    <n v="129.19999999999999"/>
    <x v="36"/>
    <x v="45"/>
    <s v="M"/>
    <x v="2"/>
    <x v="1"/>
    <x v="0"/>
    <x v="25"/>
    <x v="6"/>
    <x v="5"/>
    <x v="1"/>
  </r>
  <r>
    <x v="886"/>
    <x v="2"/>
    <x v="2"/>
    <n v="95.3"/>
    <n v="285.89999999999998"/>
    <x v="36"/>
    <x v="31"/>
    <s v="M"/>
    <x v="0"/>
    <x v="0"/>
    <x v="0"/>
    <x v="5"/>
    <x v="3"/>
    <x v="5"/>
    <x v="1"/>
  </r>
  <r>
    <x v="887"/>
    <x v="13"/>
    <x v="2"/>
    <n v="25.8"/>
    <n v="77.400000000000006"/>
    <x v="36"/>
    <x v="31"/>
    <s v="F"/>
    <x v="1"/>
    <x v="1"/>
    <x v="0"/>
    <x v="6"/>
    <x v="3"/>
    <x v="5"/>
    <x v="2"/>
  </r>
  <r>
    <x v="888"/>
    <x v="0"/>
    <x v="1"/>
    <n v="11.6"/>
    <n v="23.2"/>
    <x v="36"/>
    <x v="37"/>
    <s v="F"/>
    <x v="1"/>
    <x v="1"/>
    <x v="0"/>
    <x v="6"/>
    <x v="5"/>
    <x v="5"/>
    <x v="2"/>
  </r>
  <r>
    <x v="889"/>
    <x v="7"/>
    <x v="0"/>
    <n v="52.3"/>
    <n v="52.3"/>
    <x v="36"/>
    <x v="31"/>
    <s v="F"/>
    <x v="1"/>
    <x v="0"/>
    <x v="0"/>
    <x v="8"/>
    <x v="3"/>
    <x v="5"/>
    <x v="2"/>
  </r>
  <r>
    <x v="890"/>
    <x v="2"/>
    <x v="7"/>
    <n v="112.2"/>
    <n v="1122"/>
    <x v="36"/>
    <x v="31"/>
    <s v="F"/>
    <x v="1"/>
    <x v="1"/>
    <x v="0"/>
    <x v="8"/>
    <x v="3"/>
    <x v="5"/>
    <x v="2"/>
  </r>
  <r>
    <x v="891"/>
    <x v="4"/>
    <x v="9"/>
    <n v="34.6"/>
    <n v="173"/>
    <x v="36"/>
    <x v="39"/>
    <s v="M"/>
    <x v="2"/>
    <x v="0"/>
    <x v="0"/>
    <x v="8"/>
    <x v="1"/>
    <x v="5"/>
    <x v="1"/>
  </r>
  <r>
    <x v="892"/>
    <x v="14"/>
    <x v="12"/>
    <n v="20.100000000000001"/>
    <n v="80.400000000000006"/>
    <x v="36"/>
    <x v="44"/>
    <s v="M"/>
    <x v="1"/>
    <x v="2"/>
    <x v="0"/>
    <x v="8"/>
    <x v="4"/>
    <x v="5"/>
    <x v="1"/>
  </r>
  <r>
    <x v="893"/>
    <x v="2"/>
    <x v="12"/>
    <n v="56.4"/>
    <n v="225.6"/>
    <x v="36"/>
    <x v="39"/>
    <s v="F"/>
    <x v="2"/>
    <x v="0"/>
    <x v="0"/>
    <x v="10"/>
    <x v="1"/>
    <x v="5"/>
    <x v="2"/>
  </r>
  <r>
    <x v="894"/>
    <x v="13"/>
    <x v="11"/>
    <n v="55.3"/>
    <n v="497.7"/>
    <x v="36"/>
    <x v="39"/>
    <s v="F"/>
    <x v="1"/>
    <x v="4"/>
    <x v="0"/>
    <x v="11"/>
    <x v="1"/>
    <x v="5"/>
    <x v="2"/>
  </r>
  <r>
    <x v="895"/>
    <x v="2"/>
    <x v="31"/>
    <n v="75.5"/>
    <n v="2114"/>
    <x v="36"/>
    <x v="31"/>
    <s v="F"/>
    <x v="0"/>
    <x v="0"/>
    <x v="0"/>
    <x v="11"/>
    <x v="3"/>
    <x v="5"/>
    <x v="2"/>
  </r>
  <r>
    <x v="896"/>
    <x v="8"/>
    <x v="0"/>
    <n v="23.6"/>
    <n v="23.6"/>
    <x v="36"/>
    <x v="40"/>
    <s v="F"/>
    <x v="0"/>
    <x v="0"/>
    <x v="0"/>
    <x v="19"/>
    <x v="0"/>
    <x v="5"/>
    <x v="2"/>
  </r>
  <r>
    <x v="897"/>
    <x v="9"/>
    <x v="1"/>
    <n v="70.7"/>
    <n v="141.4"/>
    <x v="36"/>
    <x v="39"/>
    <s v="F"/>
    <x v="2"/>
    <x v="0"/>
    <x v="0"/>
    <x v="19"/>
    <x v="1"/>
    <x v="5"/>
    <x v="2"/>
  </r>
  <r>
    <x v="898"/>
    <x v="12"/>
    <x v="1"/>
    <n v="43.2"/>
    <n v="86.4"/>
    <x v="36"/>
    <x v="31"/>
    <s v="F"/>
    <x v="2"/>
    <x v="0"/>
    <x v="0"/>
    <x v="31"/>
    <x v="3"/>
    <x v="5"/>
    <x v="2"/>
  </r>
  <r>
    <x v="899"/>
    <x v="9"/>
    <x v="11"/>
    <n v="70"/>
    <n v="630"/>
    <x v="36"/>
    <x v="31"/>
    <s v=""/>
    <x v="1"/>
    <x v="0"/>
    <x v="0"/>
    <x v="52"/>
    <x v="3"/>
    <x v="5"/>
    <x v="0"/>
  </r>
  <r>
    <x v="900"/>
    <x v="0"/>
    <x v="1"/>
    <n v="20.5"/>
    <n v="41"/>
    <x v="36"/>
    <x v="39"/>
    <s v="F"/>
    <x v="2"/>
    <x v="4"/>
    <x v="0"/>
    <x v="13"/>
    <x v="1"/>
    <x v="5"/>
    <x v="2"/>
  </r>
  <r>
    <x v="901"/>
    <x v="0"/>
    <x v="12"/>
    <n v="29.1"/>
    <n v="116.4"/>
    <x v="36"/>
    <x v="31"/>
    <s v="F"/>
    <x v="3"/>
    <x v="0"/>
    <x v="0"/>
    <x v="28"/>
    <x v="3"/>
    <x v="5"/>
    <x v="2"/>
  </r>
  <r>
    <x v="902"/>
    <x v="6"/>
    <x v="11"/>
    <n v="53.6"/>
    <n v="482.40000000000003"/>
    <x v="36"/>
    <x v="31"/>
    <s v="M"/>
    <x v="2"/>
    <x v="1"/>
    <x v="0"/>
    <x v="3"/>
    <x v="3"/>
    <x v="5"/>
    <x v="1"/>
  </r>
  <r>
    <x v="903"/>
    <x v="6"/>
    <x v="9"/>
    <n v="72.3"/>
    <n v="361.5"/>
    <x v="36"/>
    <x v="39"/>
    <s v="F"/>
    <x v="1"/>
    <x v="0"/>
    <x v="0"/>
    <x v="3"/>
    <x v="1"/>
    <x v="5"/>
    <x v="2"/>
  </r>
  <r>
    <x v="904"/>
    <x v="13"/>
    <x v="12"/>
    <n v="22.6"/>
    <n v="90.4"/>
    <x v="36"/>
    <x v="35"/>
    <s v="O"/>
    <x v="0"/>
    <x v="1"/>
    <x v="0"/>
    <x v="3"/>
    <x v="2"/>
    <x v="5"/>
    <x v="3"/>
  </r>
  <r>
    <x v="905"/>
    <x v="9"/>
    <x v="1"/>
    <n v="44.2"/>
    <n v="88.4"/>
    <x v="36"/>
    <x v="37"/>
    <s v=""/>
    <x v="2"/>
    <x v="4"/>
    <x v="0"/>
    <x v="3"/>
    <x v="5"/>
    <x v="5"/>
    <x v="0"/>
  </r>
  <r>
    <x v="906"/>
    <x v="9"/>
    <x v="2"/>
    <n v="94.1"/>
    <n v="282.29999999999995"/>
    <x v="36"/>
    <x v="46"/>
    <s v="F"/>
    <x v="2"/>
    <x v="2"/>
    <x v="0"/>
    <x v="3"/>
    <x v="10"/>
    <x v="5"/>
    <x v="2"/>
  </r>
  <r>
    <x v="907"/>
    <x v="8"/>
    <x v="2"/>
    <n v="17.899999999999999"/>
    <n v="53.699999999999996"/>
    <x v="36"/>
    <x v="39"/>
    <s v="M"/>
    <x v="1"/>
    <x v="1"/>
    <x v="0"/>
    <x v="3"/>
    <x v="1"/>
    <x v="5"/>
    <x v="1"/>
  </r>
  <r>
    <x v="908"/>
    <x v="12"/>
    <x v="3"/>
    <n v="52.7"/>
    <n v="368.90000000000003"/>
    <x v="36"/>
    <x v="31"/>
    <s v="M"/>
    <x v="1"/>
    <x v="1"/>
    <x v="0"/>
    <x v="3"/>
    <x v="3"/>
    <x v="5"/>
    <x v="1"/>
  </r>
  <r>
    <x v="909"/>
    <x v="8"/>
    <x v="0"/>
    <n v="36.799999999999997"/>
    <n v="36.799999999999997"/>
    <x v="36"/>
    <x v="38"/>
    <s v=""/>
    <x v="0"/>
    <x v="2"/>
    <x v="0"/>
    <x v="3"/>
    <x v="7"/>
    <x v="5"/>
    <x v="0"/>
  </r>
  <r>
    <x v="910"/>
    <x v="4"/>
    <x v="0"/>
    <n v="52.5"/>
    <n v="52.5"/>
    <x v="36"/>
    <x v="31"/>
    <s v="M"/>
    <x v="0"/>
    <x v="1"/>
    <x v="0"/>
    <x v="6"/>
    <x v="3"/>
    <x v="5"/>
    <x v="1"/>
  </r>
  <r>
    <x v="911"/>
    <x v="2"/>
    <x v="1"/>
    <n v="133.80000000000001"/>
    <n v="267.60000000000002"/>
    <x v="36"/>
    <x v="39"/>
    <s v="M"/>
    <x v="0"/>
    <x v="1"/>
    <x v="0"/>
    <x v="7"/>
    <x v="1"/>
    <x v="5"/>
    <x v="1"/>
  </r>
  <r>
    <x v="912"/>
    <x v="6"/>
    <x v="1"/>
    <n v="53.2"/>
    <n v="106.4"/>
    <x v="36"/>
    <x v="39"/>
    <s v="M"/>
    <x v="0"/>
    <x v="0"/>
    <x v="0"/>
    <x v="17"/>
    <x v="1"/>
    <x v="5"/>
    <x v="1"/>
  </r>
  <r>
    <x v="913"/>
    <x v="14"/>
    <x v="13"/>
    <n v="18.7"/>
    <n v="112.19999999999999"/>
    <x v="36"/>
    <x v="39"/>
    <s v=""/>
    <x v="0"/>
    <x v="1"/>
    <x v="0"/>
    <x v="10"/>
    <x v="1"/>
    <x v="5"/>
    <x v="0"/>
  </r>
  <r>
    <x v="914"/>
    <x v="6"/>
    <x v="12"/>
    <n v="108.8"/>
    <n v="435.2"/>
    <x v="36"/>
    <x v="31"/>
    <s v="F"/>
    <x v="3"/>
    <x v="2"/>
    <x v="0"/>
    <x v="11"/>
    <x v="3"/>
    <x v="5"/>
    <x v="2"/>
  </r>
  <r>
    <x v="915"/>
    <x v="15"/>
    <x v="9"/>
    <n v="38.5"/>
    <n v="192.5"/>
    <x v="36"/>
    <x v="37"/>
    <s v="F"/>
    <x v="0"/>
    <x v="1"/>
    <x v="0"/>
    <x v="14"/>
    <x v="5"/>
    <x v="5"/>
    <x v="2"/>
  </r>
  <r>
    <x v="916"/>
    <x v="10"/>
    <x v="7"/>
    <n v="46.5"/>
    <n v="465"/>
    <x v="36"/>
    <x v="39"/>
    <s v="M"/>
    <x v="2"/>
    <x v="1"/>
    <x v="0"/>
    <x v="2"/>
    <x v="1"/>
    <x v="5"/>
    <x v="1"/>
  </r>
  <r>
    <x v="917"/>
    <x v="2"/>
    <x v="2"/>
    <n v="75.8"/>
    <n v="227.39999999999998"/>
    <x v="36"/>
    <x v="37"/>
    <s v="F"/>
    <x v="1"/>
    <x v="4"/>
    <x v="0"/>
    <x v="44"/>
    <x v="5"/>
    <x v="5"/>
    <x v="2"/>
  </r>
  <r>
    <x v="918"/>
    <x v="8"/>
    <x v="0"/>
    <n v="20.9"/>
    <n v="20.9"/>
    <x v="36"/>
    <x v="37"/>
    <s v="M"/>
    <x v="0"/>
    <x v="0"/>
    <x v="0"/>
    <x v="22"/>
    <x v="5"/>
    <x v="5"/>
    <x v="1"/>
  </r>
  <r>
    <x v="919"/>
    <x v="18"/>
    <x v="2"/>
    <n v="47.4"/>
    <n v="142.19999999999999"/>
    <x v="36"/>
    <x v="35"/>
    <s v="F"/>
    <x v="0"/>
    <x v="0"/>
    <x v="0"/>
    <x v="3"/>
    <x v="2"/>
    <x v="5"/>
    <x v="2"/>
  </r>
  <r>
    <x v="920"/>
    <x v="9"/>
    <x v="1"/>
    <n v="53.8"/>
    <n v="107.6"/>
    <x v="36"/>
    <x v="31"/>
    <s v=""/>
    <x v="0"/>
    <x v="1"/>
    <x v="0"/>
    <x v="3"/>
    <x v="3"/>
    <x v="5"/>
    <x v="0"/>
  </r>
  <r>
    <x v="921"/>
    <x v="8"/>
    <x v="2"/>
    <n v="24.6"/>
    <n v="73.800000000000011"/>
    <x v="36"/>
    <x v="39"/>
    <s v="O"/>
    <x v="1"/>
    <x v="2"/>
    <x v="0"/>
    <x v="3"/>
    <x v="1"/>
    <x v="5"/>
    <x v="3"/>
  </r>
  <r>
    <x v="922"/>
    <x v="9"/>
    <x v="2"/>
    <n v="70.900000000000006"/>
    <n v="212.70000000000002"/>
    <x v="36"/>
    <x v="40"/>
    <s v="F"/>
    <x v="2"/>
    <x v="2"/>
    <x v="0"/>
    <x v="3"/>
    <x v="0"/>
    <x v="5"/>
    <x v="2"/>
  </r>
  <r>
    <x v="923"/>
    <x v="17"/>
    <x v="2"/>
    <n v="31.9"/>
    <n v="95.699999999999989"/>
    <x v="36"/>
    <x v="39"/>
    <s v="F"/>
    <x v="2"/>
    <x v="2"/>
    <x v="0"/>
    <x v="3"/>
    <x v="1"/>
    <x v="5"/>
    <x v="2"/>
  </r>
  <r>
    <x v="924"/>
    <x v="0"/>
    <x v="1"/>
    <n v="20.399999999999999"/>
    <n v="40.799999999999997"/>
    <x v="36"/>
    <x v="37"/>
    <s v="M"/>
    <x v="3"/>
    <x v="2"/>
    <x v="0"/>
    <x v="3"/>
    <x v="5"/>
    <x v="5"/>
    <x v="1"/>
  </r>
  <r>
    <x v="925"/>
    <x v="8"/>
    <x v="1"/>
    <n v="18.600000000000001"/>
    <n v="37.200000000000003"/>
    <x v="36"/>
    <x v="39"/>
    <s v=""/>
    <x v="0"/>
    <x v="1"/>
    <x v="0"/>
    <x v="3"/>
    <x v="1"/>
    <x v="5"/>
    <x v="0"/>
  </r>
  <r>
    <x v="926"/>
    <x v="4"/>
    <x v="9"/>
    <n v="48.3"/>
    <n v="241.5"/>
    <x v="36"/>
    <x v="39"/>
    <s v="F"/>
    <x v="1"/>
    <x v="0"/>
    <x v="0"/>
    <x v="3"/>
    <x v="1"/>
    <x v="5"/>
    <x v="2"/>
  </r>
  <r>
    <x v="927"/>
    <x v="0"/>
    <x v="12"/>
    <n v="27.7"/>
    <n v="110.8"/>
    <x v="36"/>
    <x v="39"/>
    <s v="F"/>
    <x v="0"/>
    <x v="0"/>
    <x v="0"/>
    <x v="3"/>
    <x v="1"/>
    <x v="5"/>
    <x v="2"/>
  </r>
  <r>
    <x v="928"/>
    <x v="4"/>
    <x v="9"/>
    <n v="22.5"/>
    <n v="112.5"/>
    <x v="36"/>
    <x v="39"/>
    <s v="F"/>
    <x v="4"/>
    <x v="2"/>
    <x v="0"/>
    <x v="3"/>
    <x v="1"/>
    <x v="5"/>
    <x v="2"/>
  </r>
  <r>
    <x v="929"/>
    <x v="17"/>
    <x v="9"/>
    <n v="21.6"/>
    <n v="108"/>
    <x v="36"/>
    <x v="42"/>
    <s v="F"/>
    <x v="0"/>
    <x v="1"/>
    <x v="0"/>
    <x v="3"/>
    <x v="9"/>
    <x v="5"/>
    <x v="2"/>
  </r>
  <r>
    <x v="930"/>
    <x v="10"/>
    <x v="3"/>
    <n v="26.3"/>
    <n v="184.1"/>
    <x v="36"/>
    <x v="38"/>
    <s v="F"/>
    <x v="2"/>
    <x v="1"/>
    <x v="0"/>
    <x v="3"/>
    <x v="7"/>
    <x v="5"/>
    <x v="2"/>
  </r>
  <r>
    <x v="931"/>
    <x v="6"/>
    <x v="3"/>
    <n v="103"/>
    <n v="721"/>
    <x v="37"/>
    <x v="39"/>
    <s v="M"/>
    <x v="0"/>
    <x v="2"/>
    <x v="0"/>
    <x v="6"/>
    <x v="3"/>
    <x v="5"/>
    <x v="1"/>
  </r>
  <r>
    <x v="932"/>
    <x v="5"/>
    <x v="20"/>
    <n v="46.6"/>
    <n v="699"/>
    <x v="37"/>
    <x v="39"/>
    <s v="F"/>
    <x v="0"/>
    <x v="1"/>
    <x v="0"/>
    <x v="6"/>
    <x v="3"/>
    <x v="5"/>
    <x v="2"/>
  </r>
  <r>
    <x v="933"/>
    <x v="0"/>
    <x v="9"/>
    <n v="32.200000000000003"/>
    <n v="161"/>
    <x v="37"/>
    <x v="37"/>
    <s v="F"/>
    <x v="0"/>
    <x v="2"/>
    <x v="0"/>
    <x v="36"/>
    <x v="2"/>
    <x v="5"/>
    <x v="2"/>
  </r>
  <r>
    <x v="934"/>
    <x v="8"/>
    <x v="2"/>
    <n v="22"/>
    <n v="66"/>
    <x v="37"/>
    <x v="42"/>
    <s v="M"/>
    <x v="1"/>
    <x v="0"/>
    <x v="0"/>
    <x v="7"/>
    <x v="6"/>
    <x v="5"/>
    <x v="1"/>
  </r>
  <r>
    <x v="935"/>
    <x v="0"/>
    <x v="1"/>
    <n v="25.2"/>
    <n v="50.4"/>
    <x v="37"/>
    <x v="40"/>
    <s v="F"/>
    <x v="0"/>
    <x v="0"/>
    <x v="0"/>
    <x v="7"/>
    <x v="5"/>
    <x v="5"/>
    <x v="2"/>
  </r>
  <r>
    <x v="936"/>
    <x v="1"/>
    <x v="13"/>
    <n v="68.7"/>
    <n v="412.20000000000005"/>
    <x v="37"/>
    <x v="35"/>
    <s v="M"/>
    <x v="4"/>
    <x v="0"/>
    <x v="0"/>
    <x v="8"/>
    <x v="1"/>
    <x v="5"/>
    <x v="1"/>
  </r>
  <r>
    <x v="937"/>
    <x v="0"/>
    <x v="2"/>
    <n v="22.2"/>
    <n v="66.599999999999994"/>
    <x v="37"/>
    <x v="37"/>
    <s v="M"/>
    <x v="2"/>
    <x v="2"/>
    <x v="0"/>
    <x v="8"/>
    <x v="2"/>
    <x v="5"/>
    <x v="1"/>
  </r>
  <r>
    <x v="938"/>
    <x v="1"/>
    <x v="3"/>
    <n v="36"/>
    <n v="252"/>
    <x v="37"/>
    <x v="39"/>
    <s v="F"/>
    <x v="1"/>
    <x v="0"/>
    <x v="0"/>
    <x v="8"/>
    <x v="3"/>
    <x v="5"/>
    <x v="2"/>
  </r>
  <r>
    <x v="939"/>
    <x v="18"/>
    <x v="0"/>
    <n v="50.6"/>
    <n v="50.6"/>
    <x v="37"/>
    <x v="35"/>
    <s v="F"/>
    <x v="0"/>
    <x v="1"/>
    <x v="0"/>
    <x v="8"/>
    <x v="1"/>
    <x v="5"/>
    <x v="2"/>
  </r>
  <r>
    <x v="940"/>
    <x v="15"/>
    <x v="1"/>
    <n v="44.9"/>
    <n v="89.8"/>
    <x v="37"/>
    <x v="35"/>
    <s v="M"/>
    <x v="0"/>
    <x v="1"/>
    <x v="0"/>
    <x v="8"/>
    <x v="1"/>
    <x v="5"/>
    <x v="1"/>
  </r>
  <r>
    <x v="941"/>
    <x v="6"/>
    <x v="2"/>
    <n v="71.599999999999994"/>
    <n v="214.79999999999998"/>
    <x v="37"/>
    <x v="40"/>
    <s v="M"/>
    <x v="1"/>
    <x v="2"/>
    <x v="0"/>
    <x v="10"/>
    <x v="5"/>
    <x v="5"/>
    <x v="1"/>
  </r>
  <r>
    <x v="942"/>
    <x v="6"/>
    <x v="13"/>
    <n v="51.5"/>
    <n v="309"/>
    <x v="37"/>
    <x v="35"/>
    <s v=""/>
    <x v="4"/>
    <x v="0"/>
    <x v="0"/>
    <x v="11"/>
    <x v="1"/>
    <x v="5"/>
    <x v="0"/>
  </r>
  <r>
    <x v="943"/>
    <x v="7"/>
    <x v="9"/>
    <n v="55.5"/>
    <n v="277.5"/>
    <x v="37"/>
    <x v="39"/>
    <s v="M"/>
    <x v="1"/>
    <x v="1"/>
    <x v="0"/>
    <x v="11"/>
    <x v="3"/>
    <x v="5"/>
    <x v="1"/>
  </r>
  <r>
    <x v="944"/>
    <x v="6"/>
    <x v="0"/>
    <n v="51.7"/>
    <n v="51.7"/>
    <x v="37"/>
    <x v="47"/>
    <s v="M"/>
    <x v="2"/>
    <x v="0"/>
    <x v="0"/>
    <x v="19"/>
    <x v="12"/>
    <x v="5"/>
    <x v="1"/>
  </r>
  <r>
    <x v="945"/>
    <x v="8"/>
    <x v="38"/>
    <n v="45.5"/>
    <n v="955.5"/>
    <x v="37"/>
    <x v="39"/>
    <s v="F"/>
    <x v="3"/>
    <x v="2"/>
    <x v="0"/>
    <x v="19"/>
    <x v="3"/>
    <x v="5"/>
    <x v="2"/>
  </r>
  <r>
    <x v="946"/>
    <x v="8"/>
    <x v="1"/>
    <n v="33.799999999999997"/>
    <n v="67.599999999999994"/>
    <x v="37"/>
    <x v="45"/>
    <s v="F"/>
    <x v="3"/>
    <x v="0"/>
    <x v="0"/>
    <x v="20"/>
    <x v="4"/>
    <x v="5"/>
    <x v="2"/>
  </r>
  <r>
    <x v="947"/>
    <x v="3"/>
    <x v="2"/>
    <n v="76.5"/>
    <n v="229.5"/>
    <x v="37"/>
    <x v="39"/>
    <s v="F"/>
    <x v="0"/>
    <x v="1"/>
    <x v="0"/>
    <x v="21"/>
    <x v="3"/>
    <x v="5"/>
    <x v="2"/>
  </r>
  <r>
    <x v="948"/>
    <x v="9"/>
    <x v="2"/>
    <n v="42.6"/>
    <n v="127.80000000000001"/>
    <x v="37"/>
    <x v="45"/>
    <s v="F"/>
    <x v="2"/>
    <x v="2"/>
    <x v="0"/>
    <x v="2"/>
    <x v="4"/>
    <x v="5"/>
    <x v="2"/>
  </r>
  <r>
    <x v="949"/>
    <x v="6"/>
    <x v="2"/>
    <n v="44.1"/>
    <n v="132.30000000000001"/>
    <x v="37"/>
    <x v="35"/>
    <s v="F"/>
    <x v="1"/>
    <x v="1"/>
    <x v="0"/>
    <x v="22"/>
    <x v="1"/>
    <x v="5"/>
    <x v="2"/>
  </r>
  <r>
    <x v="950"/>
    <x v="8"/>
    <x v="1"/>
    <n v="40.9"/>
    <n v="81.8"/>
    <x v="37"/>
    <x v="40"/>
    <s v="M"/>
    <x v="0"/>
    <x v="0"/>
    <x v="0"/>
    <x v="3"/>
    <x v="5"/>
    <x v="5"/>
    <x v="1"/>
  </r>
  <r>
    <x v="951"/>
    <x v="9"/>
    <x v="2"/>
    <n v="49.1"/>
    <n v="147.30000000000001"/>
    <x v="37"/>
    <x v="40"/>
    <s v="F"/>
    <x v="3"/>
    <x v="1"/>
    <x v="0"/>
    <x v="3"/>
    <x v="5"/>
    <x v="5"/>
    <x v="2"/>
  </r>
  <r>
    <x v="952"/>
    <x v="18"/>
    <x v="0"/>
    <n v="85.3"/>
    <n v="85.3"/>
    <x v="37"/>
    <x v="40"/>
    <s v="M"/>
    <x v="1"/>
    <x v="1"/>
    <x v="0"/>
    <x v="3"/>
    <x v="5"/>
    <x v="5"/>
    <x v="1"/>
  </r>
  <r>
    <x v="953"/>
    <x v="6"/>
    <x v="12"/>
    <n v="43.1"/>
    <n v="172.4"/>
    <x v="38"/>
    <x v="40"/>
    <s v="M"/>
    <x v="0"/>
    <x v="0"/>
    <x v="0"/>
    <x v="3"/>
    <x v="2"/>
    <x v="5"/>
    <x v="1"/>
  </r>
  <r>
    <x v="954"/>
    <x v="4"/>
    <x v="12"/>
    <n v="46.2"/>
    <n v="184.8"/>
    <x v="38"/>
    <x v="35"/>
    <s v="M"/>
    <x v="2"/>
    <x v="0"/>
    <x v="0"/>
    <x v="3"/>
    <x v="3"/>
    <x v="5"/>
    <x v="1"/>
  </r>
  <r>
    <x v="955"/>
    <x v="1"/>
    <x v="0"/>
    <n v="74.400000000000006"/>
    <n v="74.400000000000006"/>
    <x v="38"/>
    <x v="37"/>
    <s v="M"/>
    <x v="4"/>
    <x v="2"/>
    <x v="0"/>
    <x v="3"/>
    <x v="1"/>
    <x v="5"/>
    <x v="1"/>
  </r>
  <r>
    <x v="956"/>
    <x v="17"/>
    <x v="1"/>
    <n v="51.2"/>
    <n v="102.4"/>
    <x v="38"/>
    <x v="35"/>
    <s v="M"/>
    <x v="1"/>
    <x v="0"/>
    <x v="0"/>
    <x v="3"/>
    <x v="3"/>
    <x v="5"/>
    <x v="1"/>
  </r>
  <r>
    <x v="957"/>
    <x v="14"/>
    <x v="12"/>
    <n v="11.8"/>
    <n v="47.2"/>
    <x v="38"/>
    <x v="39"/>
    <s v="M"/>
    <x v="2"/>
    <x v="0"/>
    <x v="0"/>
    <x v="3"/>
    <x v="7"/>
    <x v="5"/>
    <x v="1"/>
  </r>
  <r>
    <x v="958"/>
    <x v="10"/>
    <x v="6"/>
    <n v="40.799999999999997"/>
    <n v="1101.5999999999999"/>
    <x v="38"/>
    <x v="35"/>
    <s v="F"/>
    <x v="3"/>
    <x v="2"/>
    <x v="0"/>
    <x v="3"/>
    <x v="3"/>
    <x v="5"/>
    <x v="2"/>
  </r>
  <r>
    <x v="959"/>
    <x v="8"/>
    <x v="0"/>
    <n v="24.7"/>
    <n v="24.7"/>
    <x v="38"/>
    <x v="37"/>
    <s v="F"/>
    <x v="2"/>
    <x v="1"/>
    <x v="0"/>
    <x v="3"/>
    <x v="1"/>
    <x v="5"/>
    <x v="2"/>
  </r>
  <r>
    <x v="960"/>
    <x v="8"/>
    <x v="3"/>
    <n v="22.1"/>
    <n v="154.70000000000002"/>
    <x v="38"/>
    <x v="39"/>
    <s v="F"/>
    <x v="2"/>
    <x v="4"/>
    <x v="0"/>
    <x v="3"/>
    <x v="7"/>
    <x v="5"/>
    <x v="2"/>
  </r>
  <r>
    <x v="961"/>
    <x v="8"/>
    <x v="0"/>
    <n v="18.100000000000001"/>
    <n v="18.100000000000001"/>
    <x v="38"/>
    <x v="44"/>
    <s v="M"/>
    <x v="3"/>
    <x v="2"/>
    <x v="0"/>
    <x v="3"/>
    <x v="5"/>
    <x v="5"/>
    <x v="1"/>
  </r>
  <r>
    <x v="962"/>
    <x v="17"/>
    <x v="1"/>
    <n v="58.8"/>
    <n v="117.6"/>
    <x v="38"/>
    <x v="40"/>
    <s v="F"/>
    <x v="0"/>
    <x v="0"/>
    <x v="0"/>
    <x v="25"/>
    <x v="2"/>
    <x v="5"/>
    <x v="2"/>
  </r>
  <r>
    <x v="963"/>
    <x v="18"/>
    <x v="1"/>
    <n v="30.8"/>
    <n v="61.6"/>
    <x v="38"/>
    <x v="35"/>
    <s v="F"/>
    <x v="0"/>
    <x v="0"/>
    <x v="0"/>
    <x v="6"/>
    <x v="3"/>
    <x v="5"/>
    <x v="2"/>
  </r>
  <r>
    <x v="964"/>
    <x v="0"/>
    <x v="1"/>
    <n v="12"/>
    <n v="24"/>
    <x v="38"/>
    <x v="44"/>
    <s v="F"/>
    <x v="0"/>
    <x v="0"/>
    <x v="0"/>
    <x v="6"/>
    <x v="5"/>
    <x v="5"/>
    <x v="2"/>
  </r>
  <r>
    <x v="965"/>
    <x v="0"/>
    <x v="12"/>
    <n v="13.6"/>
    <n v="54.4"/>
    <x v="38"/>
    <x v="40"/>
    <s v="M"/>
    <x v="2"/>
    <x v="0"/>
    <x v="0"/>
    <x v="6"/>
    <x v="2"/>
    <x v="5"/>
    <x v="1"/>
  </r>
  <r>
    <x v="966"/>
    <x v="0"/>
    <x v="0"/>
    <n v="17.899999999999999"/>
    <n v="17.899999999999999"/>
    <x v="38"/>
    <x v="35"/>
    <s v="M"/>
    <x v="3"/>
    <x v="0"/>
    <x v="0"/>
    <x v="6"/>
    <x v="3"/>
    <x v="5"/>
    <x v="1"/>
  </r>
  <r>
    <x v="967"/>
    <x v="9"/>
    <x v="1"/>
    <n v="38.6"/>
    <n v="77.2"/>
    <x v="38"/>
    <x v="44"/>
    <s v="F"/>
    <x v="4"/>
    <x v="0"/>
    <x v="0"/>
    <x v="7"/>
    <x v="5"/>
    <x v="5"/>
    <x v="2"/>
  </r>
  <r>
    <x v="968"/>
    <x v="5"/>
    <x v="9"/>
    <n v="32.700000000000003"/>
    <n v="163.5"/>
    <x v="38"/>
    <x v="35"/>
    <s v="M"/>
    <x v="2"/>
    <x v="2"/>
    <x v="0"/>
    <x v="8"/>
    <x v="3"/>
    <x v="5"/>
    <x v="1"/>
  </r>
  <r>
    <x v="969"/>
    <x v="3"/>
    <x v="1"/>
    <n v="111.4"/>
    <n v="222.8"/>
    <x v="38"/>
    <x v="35"/>
    <s v="F"/>
    <x v="1"/>
    <x v="0"/>
    <x v="0"/>
    <x v="8"/>
    <x v="3"/>
    <x v="5"/>
    <x v="2"/>
  </r>
  <r>
    <x v="970"/>
    <x v="2"/>
    <x v="13"/>
    <n v="80.3"/>
    <n v="481.79999999999995"/>
    <x v="38"/>
    <x v="37"/>
    <s v="F"/>
    <x v="1"/>
    <x v="0"/>
    <x v="0"/>
    <x v="8"/>
    <x v="1"/>
    <x v="5"/>
    <x v="2"/>
  </r>
  <r>
    <x v="971"/>
    <x v="6"/>
    <x v="1"/>
    <n v="58.9"/>
    <n v="117.8"/>
    <x v="38"/>
    <x v="35"/>
    <s v="M"/>
    <x v="1"/>
    <x v="0"/>
    <x v="0"/>
    <x v="8"/>
    <x v="3"/>
    <x v="5"/>
    <x v="1"/>
  </r>
  <r>
    <x v="972"/>
    <x v="6"/>
    <x v="2"/>
    <n v="51.9"/>
    <n v="155.69999999999999"/>
    <x v="38"/>
    <x v="37"/>
    <s v="F"/>
    <x v="1"/>
    <x v="4"/>
    <x v="0"/>
    <x v="8"/>
    <x v="1"/>
    <x v="5"/>
    <x v="2"/>
  </r>
  <r>
    <x v="973"/>
    <x v="2"/>
    <x v="2"/>
    <n v="50.3"/>
    <n v="150.89999999999998"/>
    <x v="38"/>
    <x v="35"/>
    <s v="M"/>
    <x v="2"/>
    <x v="0"/>
    <x v="0"/>
    <x v="17"/>
    <x v="3"/>
    <x v="5"/>
    <x v="1"/>
  </r>
  <r>
    <x v="974"/>
    <x v="11"/>
    <x v="13"/>
    <n v="45"/>
    <n v="270"/>
    <x v="38"/>
    <x v="42"/>
    <s v="F"/>
    <x v="3"/>
    <x v="0"/>
    <x v="0"/>
    <x v="9"/>
    <x v="4"/>
    <x v="5"/>
    <x v="2"/>
  </r>
  <r>
    <x v="975"/>
    <x v="10"/>
    <x v="13"/>
    <n v="44.7"/>
    <n v="268.20000000000005"/>
    <x v="38"/>
    <x v="37"/>
    <s v="F"/>
    <x v="2"/>
    <x v="0"/>
    <x v="0"/>
    <x v="11"/>
    <x v="1"/>
    <x v="5"/>
    <x v="2"/>
  </r>
  <r>
    <x v="976"/>
    <x v="18"/>
    <x v="20"/>
    <n v="33"/>
    <n v="495"/>
    <x v="38"/>
    <x v="35"/>
    <s v="F"/>
    <x v="2"/>
    <x v="0"/>
    <x v="0"/>
    <x v="11"/>
    <x v="3"/>
    <x v="5"/>
    <x v="2"/>
  </r>
  <r>
    <x v="977"/>
    <x v="1"/>
    <x v="9"/>
    <n v="44.9"/>
    <n v="224.5"/>
    <x v="38"/>
    <x v="40"/>
    <s v="F"/>
    <x v="2"/>
    <x v="2"/>
    <x v="0"/>
    <x v="18"/>
    <x v="2"/>
    <x v="5"/>
    <x v="2"/>
  </r>
  <r>
    <x v="978"/>
    <x v="10"/>
    <x v="1"/>
    <n v="34.6"/>
    <n v="69.2"/>
    <x v="38"/>
    <x v="44"/>
    <s v="F"/>
    <x v="0"/>
    <x v="1"/>
    <x v="0"/>
    <x v="19"/>
    <x v="5"/>
    <x v="5"/>
    <x v="2"/>
  </r>
  <r>
    <x v="979"/>
    <x v="7"/>
    <x v="3"/>
    <n v="47.1"/>
    <n v="329.7"/>
    <x v="38"/>
    <x v="45"/>
    <s v="F"/>
    <x v="0"/>
    <x v="0"/>
    <x v="0"/>
    <x v="13"/>
    <x v="0"/>
    <x v="5"/>
    <x v="2"/>
  </r>
  <r>
    <x v="980"/>
    <x v="4"/>
    <x v="9"/>
    <n v="26.1"/>
    <n v="130.5"/>
    <x v="38"/>
    <x v="45"/>
    <s v="M"/>
    <x v="0"/>
    <x v="2"/>
    <x v="0"/>
    <x v="21"/>
    <x v="0"/>
    <x v="5"/>
    <x v="1"/>
  </r>
  <r>
    <x v="981"/>
    <x v="12"/>
    <x v="9"/>
    <n v="66.8"/>
    <n v="334"/>
    <x v="38"/>
    <x v="40"/>
    <s v="F"/>
    <x v="0"/>
    <x v="0"/>
    <x v="0"/>
    <x v="21"/>
    <x v="2"/>
    <x v="5"/>
    <x v="2"/>
  </r>
  <r>
    <x v="982"/>
    <x v="2"/>
    <x v="1"/>
    <n v="167.9"/>
    <n v="335.8"/>
    <x v="38"/>
    <x v="35"/>
    <s v="F"/>
    <x v="3"/>
    <x v="2"/>
    <x v="0"/>
    <x v="21"/>
    <x v="3"/>
    <x v="5"/>
    <x v="2"/>
  </r>
  <r>
    <x v="983"/>
    <x v="10"/>
    <x v="11"/>
    <n v="34.6"/>
    <n v="311.40000000000003"/>
    <x v="38"/>
    <x v="35"/>
    <s v="F"/>
    <x v="2"/>
    <x v="1"/>
    <x v="0"/>
    <x v="21"/>
    <x v="3"/>
    <x v="5"/>
    <x v="2"/>
  </r>
  <r>
    <x v="984"/>
    <x v="8"/>
    <x v="2"/>
    <n v="35.1"/>
    <n v="105.30000000000001"/>
    <x v="39"/>
    <x v="45"/>
    <s v="M"/>
    <x v="4"/>
    <x v="2"/>
    <x v="0"/>
    <x v="1"/>
    <x v="5"/>
    <x v="6"/>
    <x v="1"/>
  </r>
  <r>
    <x v="985"/>
    <x v="6"/>
    <x v="12"/>
    <n v="104.5"/>
    <n v="418"/>
    <x v="39"/>
    <x v="37"/>
    <s v="M"/>
    <x v="1"/>
    <x v="1"/>
    <x v="0"/>
    <x v="1"/>
    <x v="3"/>
    <x v="6"/>
    <x v="1"/>
  </r>
  <r>
    <x v="986"/>
    <x v="8"/>
    <x v="0"/>
    <n v="37.9"/>
    <n v="37.9"/>
    <x v="39"/>
    <x v="40"/>
    <s v=""/>
    <x v="1"/>
    <x v="2"/>
    <x v="0"/>
    <x v="2"/>
    <x v="1"/>
    <x v="6"/>
    <x v="0"/>
  </r>
  <r>
    <x v="987"/>
    <x v="4"/>
    <x v="2"/>
    <n v="25.5"/>
    <n v="76.5"/>
    <x v="39"/>
    <x v="44"/>
    <s v="M"/>
    <x v="3"/>
    <x v="0"/>
    <x v="0"/>
    <x v="2"/>
    <x v="2"/>
    <x v="6"/>
    <x v="1"/>
  </r>
  <r>
    <x v="988"/>
    <x v="0"/>
    <x v="2"/>
    <n v="32"/>
    <n v="96"/>
    <x v="39"/>
    <x v="45"/>
    <s v="F"/>
    <x v="1"/>
    <x v="0"/>
    <x v="0"/>
    <x v="22"/>
    <x v="5"/>
    <x v="6"/>
    <x v="2"/>
  </r>
  <r>
    <x v="989"/>
    <x v="1"/>
    <x v="0"/>
    <n v="47.1"/>
    <n v="47.1"/>
    <x v="39"/>
    <x v="37"/>
    <s v="F"/>
    <x v="0"/>
    <x v="0"/>
    <x v="0"/>
    <x v="34"/>
    <x v="3"/>
    <x v="6"/>
    <x v="2"/>
  </r>
  <r>
    <x v="990"/>
    <x v="6"/>
    <x v="1"/>
    <n v="50.6"/>
    <n v="101.2"/>
    <x v="39"/>
    <x v="48"/>
    <s v=""/>
    <x v="0"/>
    <x v="0"/>
    <x v="0"/>
    <x v="3"/>
    <x v="4"/>
    <x v="6"/>
    <x v="0"/>
  </r>
  <r>
    <x v="991"/>
    <x v="6"/>
    <x v="9"/>
    <n v="81.7"/>
    <n v="408.5"/>
    <x v="39"/>
    <x v="37"/>
    <s v="F"/>
    <x v="1"/>
    <x v="2"/>
    <x v="0"/>
    <x v="3"/>
    <x v="3"/>
    <x v="6"/>
    <x v="2"/>
  </r>
  <r>
    <x v="992"/>
    <x v="5"/>
    <x v="1"/>
    <n v="50.7"/>
    <n v="101.4"/>
    <x v="39"/>
    <x v="37"/>
    <s v="O"/>
    <x v="2"/>
    <x v="2"/>
    <x v="0"/>
    <x v="3"/>
    <x v="3"/>
    <x v="6"/>
    <x v="3"/>
  </r>
  <r>
    <x v="993"/>
    <x v="2"/>
    <x v="10"/>
    <n v="67.3"/>
    <n v="1278.7"/>
    <x v="39"/>
    <x v="45"/>
    <s v="F"/>
    <x v="2"/>
    <x v="0"/>
    <x v="0"/>
    <x v="3"/>
    <x v="5"/>
    <x v="6"/>
    <x v="2"/>
  </r>
  <r>
    <x v="994"/>
    <x v="2"/>
    <x v="12"/>
    <n v="64.8"/>
    <n v="259.2"/>
    <x v="39"/>
    <x v="44"/>
    <s v="F"/>
    <x v="3"/>
    <x v="0"/>
    <x v="0"/>
    <x v="3"/>
    <x v="2"/>
    <x v="6"/>
    <x v="2"/>
  </r>
  <r>
    <x v="995"/>
    <x v="5"/>
    <x v="32"/>
    <n v="61.3"/>
    <n v="1348.6"/>
    <x v="39"/>
    <x v="37"/>
    <s v="F"/>
    <x v="0"/>
    <x v="2"/>
    <x v="0"/>
    <x v="3"/>
    <x v="3"/>
    <x v="6"/>
    <x v="2"/>
  </r>
  <r>
    <x v="996"/>
    <x v="14"/>
    <x v="0"/>
    <n v="32.9"/>
    <n v="32.9"/>
    <x v="39"/>
    <x v="44"/>
    <s v="F"/>
    <x v="4"/>
    <x v="0"/>
    <x v="0"/>
    <x v="3"/>
    <x v="2"/>
    <x v="6"/>
    <x v="2"/>
  </r>
  <r>
    <x v="997"/>
    <x v="6"/>
    <x v="1"/>
    <n v="100.8"/>
    <n v="201.6"/>
    <x v="39"/>
    <x v="44"/>
    <s v="F"/>
    <x v="0"/>
    <x v="0"/>
    <x v="0"/>
    <x v="3"/>
    <x v="2"/>
    <x v="6"/>
    <x v="2"/>
  </r>
  <r>
    <x v="998"/>
    <x v="8"/>
    <x v="12"/>
    <n v="25.1"/>
    <n v="100.4"/>
    <x v="39"/>
    <x v="40"/>
    <s v="F"/>
    <x v="1"/>
    <x v="0"/>
    <x v="0"/>
    <x v="3"/>
    <x v="1"/>
    <x v="6"/>
    <x v="2"/>
  </r>
  <r>
    <x v="999"/>
    <x v="17"/>
    <x v="0"/>
    <n v="48.5"/>
    <n v="48.5"/>
    <x v="39"/>
    <x v="37"/>
    <s v="F"/>
    <x v="0"/>
    <x v="1"/>
    <x v="0"/>
    <x v="3"/>
    <x v="3"/>
    <x v="6"/>
    <x v="2"/>
  </r>
  <r>
    <x v="1000"/>
    <x v="7"/>
    <x v="1"/>
    <n v="33.6"/>
    <n v="67.2"/>
    <x v="39"/>
    <x v="45"/>
    <s v="F"/>
    <x v="2"/>
    <x v="2"/>
    <x v="0"/>
    <x v="3"/>
    <x v="5"/>
    <x v="6"/>
    <x v="2"/>
  </r>
  <r>
    <x v="1001"/>
    <x v="8"/>
    <x v="0"/>
    <n v="39.299999999999997"/>
    <n v="39.299999999999997"/>
    <x v="39"/>
    <x v="49"/>
    <s v="F"/>
    <x v="1"/>
    <x v="1"/>
    <x v="0"/>
    <x v="49"/>
    <x v="11"/>
    <x v="6"/>
    <x v="2"/>
  </r>
  <r>
    <x v="1002"/>
    <x v="4"/>
    <x v="7"/>
    <n v="48.8"/>
    <n v="488"/>
    <x v="39"/>
    <x v="40"/>
    <s v="F"/>
    <x v="3"/>
    <x v="1"/>
    <x v="0"/>
    <x v="25"/>
    <x v="1"/>
    <x v="6"/>
    <x v="2"/>
  </r>
  <r>
    <x v="1003"/>
    <x v="6"/>
    <x v="8"/>
    <n v="72.8"/>
    <n v="582.4"/>
    <x v="39"/>
    <x v="40"/>
    <s v="M"/>
    <x v="1"/>
    <x v="2"/>
    <x v="0"/>
    <x v="5"/>
    <x v="1"/>
    <x v="6"/>
    <x v="1"/>
  </r>
  <r>
    <x v="1004"/>
    <x v="10"/>
    <x v="8"/>
    <n v="46.2"/>
    <n v="369.6"/>
    <x v="39"/>
    <x v="37"/>
    <s v="M"/>
    <x v="3"/>
    <x v="4"/>
    <x v="0"/>
    <x v="5"/>
    <x v="3"/>
    <x v="6"/>
    <x v="1"/>
  </r>
  <r>
    <x v="1005"/>
    <x v="4"/>
    <x v="1"/>
    <n v="20.7"/>
    <n v="41.4"/>
    <x v="39"/>
    <x v="37"/>
    <s v="F"/>
    <x v="2"/>
    <x v="3"/>
    <x v="0"/>
    <x v="6"/>
    <x v="3"/>
    <x v="6"/>
    <x v="2"/>
  </r>
  <r>
    <x v="1006"/>
    <x v="0"/>
    <x v="0"/>
    <n v="35.700000000000003"/>
    <n v="35.700000000000003"/>
    <x v="39"/>
    <x v="40"/>
    <s v="F"/>
    <x v="3"/>
    <x v="0"/>
    <x v="0"/>
    <x v="6"/>
    <x v="1"/>
    <x v="6"/>
    <x v="2"/>
  </r>
  <r>
    <x v="1007"/>
    <x v="2"/>
    <x v="27"/>
    <n v="166.2"/>
    <n v="2659.2"/>
    <x v="39"/>
    <x v="40"/>
    <s v=""/>
    <x v="2"/>
    <x v="0"/>
    <x v="0"/>
    <x v="7"/>
    <x v="1"/>
    <x v="6"/>
    <x v="0"/>
  </r>
  <r>
    <x v="1008"/>
    <x v="6"/>
    <x v="12"/>
    <n v="85.8"/>
    <n v="343.2"/>
    <x v="39"/>
    <x v="37"/>
    <s v="F"/>
    <x v="1"/>
    <x v="1"/>
    <x v="0"/>
    <x v="7"/>
    <x v="3"/>
    <x v="6"/>
    <x v="2"/>
  </r>
  <r>
    <x v="1009"/>
    <x v="8"/>
    <x v="2"/>
    <n v="26"/>
    <n v="78"/>
    <x v="39"/>
    <x v="40"/>
    <s v="O"/>
    <x v="1"/>
    <x v="0"/>
    <x v="0"/>
    <x v="7"/>
    <x v="1"/>
    <x v="6"/>
    <x v="3"/>
  </r>
  <r>
    <x v="1010"/>
    <x v="2"/>
    <x v="15"/>
    <n v="116.6"/>
    <n v="1515.8"/>
    <x v="39"/>
    <x v="44"/>
    <s v="F"/>
    <x v="0"/>
    <x v="0"/>
    <x v="0"/>
    <x v="8"/>
    <x v="2"/>
    <x v="6"/>
    <x v="2"/>
  </r>
  <r>
    <x v="1011"/>
    <x v="9"/>
    <x v="3"/>
    <n v="53.9"/>
    <n v="377.3"/>
    <x v="39"/>
    <x v="44"/>
    <s v="O"/>
    <x v="0"/>
    <x v="2"/>
    <x v="0"/>
    <x v="8"/>
    <x v="2"/>
    <x v="6"/>
    <x v="3"/>
  </r>
  <r>
    <x v="1012"/>
    <x v="12"/>
    <x v="9"/>
    <n v="72.3"/>
    <n v="361.5"/>
    <x v="39"/>
    <x v="40"/>
    <s v=""/>
    <x v="2"/>
    <x v="2"/>
    <x v="0"/>
    <x v="8"/>
    <x v="1"/>
    <x v="6"/>
    <x v="0"/>
  </r>
  <r>
    <x v="1013"/>
    <x v="5"/>
    <x v="1"/>
    <n v="31.4"/>
    <n v="62.8"/>
    <x v="39"/>
    <x v="40"/>
    <s v="F"/>
    <x v="0"/>
    <x v="0"/>
    <x v="0"/>
    <x v="8"/>
    <x v="1"/>
    <x v="6"/>
    <x v="2"/>
  </r>
  <r>
    <x v="1014"/>
    <x v="13"/>
    <x v="1"/>
    <n v="53.1"/>
    <n v="106.2"/>
    <x v="39"/>
    <x v="44"/>
    <s v="M"/>
    <x v="1"/>
    <x v="0"/>
    <x v="0"/>
    <x v="8"/>
    <x v="2"/>
    <x v="6"/>
    <x v="1"/>
  </r>
  <r>
    <x v="1015"/>
    <x v="2"/>
    <x v="12"/>
    <n v="56.2"/>
    <n v="224.8"/>
    <x v="39"/>
    <x v="37"/>
    <s v="F"/>
    <x v="0"/>
    <x v="0"/>
    <x v="0"/>
    <x v="8"/>
    <x v="3"/>
    <x v="6"/>
    <x v="2"/>
  </r>
  <r>
    <x v="1016"/>
    <x v="1"/>
    <x v="7"/>
    <n v="77.3"/>
    <n v="773"/>
    <x v="39"/>
    <x v="37"/>
    <s v="F"/>
    <x v="2"/>
    <x v="0"/>
    <x v="0"/>
    <x v="11"/>
    <x v="3"/>
    <x v="6"/>
    <x v="2"/>
  </r>
  <r>
    <x v="1017"/>
    <x v="6"/>
    <x v="15"/>
    <n v="57.8"/>
    <n v="751.4"/>
    <x v="39"/>
    <x v="37"/>
    <s v=""/>
    <x v="0"/>
    <x v="0"/>
    <x v="0"/>
    <x v="53"/>
    <x v="3"/>
    <x v="6"/>
    <x v="0"/>
  </r>
  <r>
    <x v="1018"/>
    <x v="12"/>
    <x v="20"/>
    <n v="42.1"/>
    <n v="631.5"/>
    <x v="39"/>
    <x v="40"/>
    <s v="F"/>
    <x v="1"/>
    <x v="1"/>
    <x v="0"/>
    <x v="53"/>
    <x v="1"/>
    <x v="6"/>
    <x v="2"/>
  </r>
  <r>
    <x v="1019"/>
    <x v="8"/>
    <x v="11"/>
    <n v="22.8"/>
    <n v="205.20000000000002"/>
    <x v="39"/>
    <x v="45"/>
    <s v="M"/>
    <x v="2"/>
    <x v="2"/>
    <x v="0"/>
    <x v="19"/>
    <x v="5"/>
    <x v="6"/>
    <x v="1"/>
  </r>
  <r>
    <x v="1020"/>
    <x v="2"/>
    <x v="2"/>
    <n v="171.1"/>
    <n v="513.29999999999995"/>
    <x v="40"/>
    <x v="43"/>
    <s v="F"/>
    <x v="2"/>
    <x v="1"/>
    <x v="0"/>
    <x v="19"/>
    <x v="6"/>
    <x v="6"/>
    <x v="2"/>
  </r>
  <r>
    <x v="1021"/>
    <x v="8"/>
    <x v="0"/>
    <n v="28"/>
    <n v="28"/>
    <x v="40"/>
    <x v="44"/>
    <s v="M"/>
    <x v="2"/>
    <x v="2"/>
    <x v="0"/>
    <x v="21"/>
    <x v="1"/>
    <x v="6"/>
    <x v="1"/>
  </r>
  <r>
    <x v="1022"/>
    <x v="6"/>
    <x v="3"/>
    <n v="50.2"/>
    <n v="351.40000000000003"/>
    <x v="40"/>
    <x v="44"/>
    <s v="M"/>
    <x v="2"/>
    <x v="0"/>
    <x v="0"/>
    <x v="21"/>
    <x v="1"/>
    <x v="6"/>
    <x v="1"/>
  </r>
  <r>
    <x v="1023"/>
    <x v="6"/>
    <x v="1"/>
    <n v="56"/>
    <n v="112"/>
    <x v="40"/>
    <x v="37"/>
    <s v="M"/>
    <x v="0"/>
    <x v="2"/>
    <x v="0"/>
    <x v="22"/>
    <x v="7"/>
    <x v="6"/>
    <x v="1"/>
  </r>
  <r>
    <x v="1024"/>
    <x v="1"/>
    <x v="1"/>
    <n v="38.299999999999997"/>
    <n v="76.599999999999994"/>
    <x v="40"/>
    <x v="40"/>
    <s v="F"/>
    <x v="1"/>
    <x v="0"/>
    <x v="0"/>
    <x v="3"/>
    <x v="3"/>
    <x v="6"/>
    <x v="2"/>
  </r>
  <r>
    <x v="1025"/>
    <x v="0"/>
    <x v="9"/>
    <n v="22.3"/>
    <n v="111.5"/>
    <x v="40"/>
    <x v="42"/>
    <s v="F"/>
    <x v="2"/>
    <x v="1"/>
    <x v="0"/>
    <x v="3"/>
    <x v="5"/>
    <x v="6"/>
    <x v="2"/>
  </r>
  <r>
    <x v="1026"/>
    <x v="0"/>
    <x v="2"/>
    <n v="22.3"/>
    <n v="66.900000000000006"/>
    <x v="40"/>
    <x v="45"/>
    <s v="F"/>
    <x v="2"/>
    <x v="0"/>
    <x v="0"/>
    <x v="3"/>
    <x v="2"/>
    <x v="6"/>
    <x v="2"/>
  </r>
  <r>
    <x v="1027"/>
    <x v="1"/>
    <x v="0"/>
    <n v="32.9"/>
    <n v="32.9"/>
    <x v="40"/>
    <x v="48"/>
    <s v="F"/>
    <x v="0"/>
    <x v="0"/>
    <x v="0"/>
    <x v="3"/>
    <x v="0"/>
    <x v="6"/>
    <x v="2"/>
  </r>
  <r>
    <x v="1028"/>
    <x v="10"/>
    <x v="2"/>
    <n v="31.9"/>
    <n v="95.699999999999989"/>
    <x v="40"/>
    <x v="48"/>
    <s v="F"/>
    <x v="0"/>
    <x v="0"/>
    <x v="0"/>
    <x v="3"/>
    <x v="0"/>
    <x v="6"/>
    <x v="2"/>
  </r>
  <r>
    <x v="1029"/>
    <x v="6"/>
    <x v="1"/>
    <n v="94"/>
    <n v="188"/>
    <x v="40"/>
    <x v="40"/>
    <s v="M"/>
    <x v="2"/>
    <x v="2"/>
    <x v="0"/>
    <x v="3"/>
    <x v="3"/>
    <x v="6"/>
    <x v="1"/>
  </r>
  <r>
    <x v="1030"/>
    <x v="10"/>
    <x v="1"/>
    <n v="30.7"/>
    <n v="61.4"/>
    <x v="40"/>
    <x v="40"/>
    <s v="F"/>
    <x v="0"/>
    <x v="1"/>
    <x v="0"/>
    <x v="3"/>
    <x v="3"/>
    <x v="6"/>
    <x v="2"/>
  </r>
  <r>
    <x v="1031"/>
    <x v="5"/>
    <x v="9"/>
    <n v="90.5"/>
    <n v="452.5"/>
    <x v="40"/>
    <x v="43"/>
    <s v="M"/>
    <x v="0"/>
    <x v="2"/>
    <x v="0"/>
    <x v="3"/>
    <x v="6"/>
    <x v="6"/>
    <x v="1"/>
  </r>
  <r>
    <x v="1032"/>
    <x v="8"/>
    <x v="9"/>
    <n v="25.3"/>
    <n v="126.5"/>
    <x v="40"/>
    <x v="42"/>
    <s v="F"/>
    <x v="0"/>
    <x v="2"/>
    <x v="0"/>
    <x v="3"/>
    <x v="5"/>
    <x v="6"/>
    <x v="2"/>
  </r>
  <r>
    <x v="1033"/>
    <x v="6"/>
    <x v="2"/>
    <n v="58.1"/>
    <n v="174.3"/>
    <x v="40"/>
    <x v="42"/>
    <s v=""/>
    <x v="0"/>
    <x v="2"/>
    <x v="0"/>
    <x v="3"/>
    <x v="5"/>
    <x v="6"/>
    <x v="0"/>
  </r>
  <r>
    <x v="1034"/>
    <x v="2"/>
    <x v="2"/>
    <n v="74.900000000000006"/>
    <n v="224.70000000000002"/>
    <x v="40"/>
    <x v="40"/>
    <s v="F"/>
    <x v="4"/>
    <x v="0"/>
    <x v="0"/>
    <x v="3"/>
    <x v="3"/>
    <x v="6"/>
    <x v="2"/>
  </r>
  <r>
    <x v="1035"/>
    <x v="4"/>
    <x v="1"/>
    <n v="32.5"/>
    <n v="65"/>
    <x v="40"/>
    <x v="40"/>
    <s v="M"/>
    <x v="2"/>
    <x v="2"/>
    <x v="0"/>
    <x v="43"/>
    <x v="3"/>
    <x v="6"/>
    <x v="1"/>
  </r>
  <r>
    <x v="1036"/>
    <x v="4"/>
    <x v="9"/>
    <n v="62"/>
    <n v="310"/>
    <x v="40"/>
    <x v="40"/>
    <s v="M"/>
    <x v="4"/>
    <x v="2"/>
    <x v="0"/>
    <x v="25"/>
    <x v="3"/>
    <x v="6"/>
    <x v="1"/>
  </r>
  <r>
    <x v="1037"/>
    <x v="13"/>
    <x v="13"/>
    <n v="28.9"/>
    <n v="173.39999999999998"/>
    <x v="40"/>
    <x v="45"/>
    <s v="F"/>
    <x v="0"/>
    <x v="1"/>
    <x v="0"/>
    <x v="6"/>
    <x v="2"/>
    <x v="6"/>
    <x v="2"/>
  </r>
  <r>
    <x v="1038"/>
    <x v="6"/>
    <x v="8"/>
    <n v="42.8"/>
    <n v="342.4"/>
    <x v="40"/>
    <x v="44"/>
    <s v="F"/>
    <x v="0"/>
    <x v="2"/>
    <x v="0"/>
    <x v="6"/>
    <x v="1"/>
    <x v="6"/>
    <x v="2"/>
  </r>
  <r>
    <x v="1039"/>
    <x v="8"/>
    <x v="8"/>
    <n v="39.4"/>
    <n v="315.2"/>
    <x v="40"/>
    <x v="44"/>
    <s v="M"/>
    <x v="0"/>
    <x v="0"/>
    <x v="0"/>
    <x v="36"/>
    <x v="1"/>
    <x v="6"/>
    <x v="1"/>
  </r>
  <r>
    <x v="1040"/>
    <x v="18"/>
    <x v="2"/>
    <n v="66.400000000000006"/>
    <n v="199.20000000000002"/>
    <x v="40"/>
    <x v="40"/>
    <s v=""/>
    <x v="2"/>
    <x v="1"/>
    <x v="0"/>
    <x v="7"/>
    <x v="3"/>
    <x v="6"/>
    <x v="0"/>
  </r>
  <r>
    <x v="1041"/>
    <x v="17"/>
    <x v="12"/>
    <n v="35.9"/>
    <n v="143.6"/>
    <x v="40"/>
    <x v="43"/>
    <s v="F"/>
    <x v="1"/>
    <x v="0"/>
    <x v="0"/>
    <x v="7"/>
    <x v="6"/>
    <x v="6"/>
    <x v="2"/>
  </r>
  <r>
    <x v="1042"/>
    <x v="0"/>
    <x v="12"/>
    <n v="26.9"/>
    <n v="107.6"/>
    <x v="40"/>
    <x v="40"/>
    <s v="M"/>
    <x v="1"/>
    <x v="0"/>
    <x v="0"/>
    <x v="7"/>
    <x v="3"/>
    <x v="6"/>
    <x v="1"/>
  </r>
  <r>
    <x v="1043"/>
    <x v="2"/>
    <x v="0"/>
    <n v="55.1"/>
    <n v="55.1"/>
    <x v="40"/>
    <x v="40"/>
    <s v="F"/>
    <x v="0"/>
    <x v="0"/>
    <x v="0"/>
    <x v="7"/>
    <x v="3"/>
    <x v="6"/>
    <x v="2"/>
  </r>
  <r>
    <x v="1044"/>
    <x v="4"/>
    <x v="1"/>
    <n v="23.9"/>
    <n v="47.8"/>
    <x v="40"/>
    <x v="40"/>
    <s v="M"/>
    <x v="0"/>
    <x v="2"/>
    <x v="0"/>
    <x v="8"/>
    <x v="3"/>
    <x v="6"/>
    <x v="1"/>
  </r>
  <r>
    <x v="1045"/>
    <x v="9"/>
    <x v="15"/>
    <n v="21.1"/>
    <n v="274.3"/>
    <x v="40"/>
    <x v="50"/>
    <s v="F"/>
    <x v="0"/>
    <x v="1"/>
    <x v="0"/>
    <x v="8"/>
    <x v="9"/>
    <x v="6"/>
    <x v="2"/>
  </r>
  <r>
    <x v="1046"/>
    <x v="8"/>
    <x v="9"/>
    <n v="33.799999999999997"/>
    <n v="169"/>
    <x v="40"/>
    <x v="44"/>
    <s v="F"/>
    <x v="0"/>
    <x v="0"/>
    <x v="0"/>
    <x v="8"/>
    <x v="1"/>
    <x v="6"/>
    <x v="2"/>
  </r>
  <r>
    <x v="1047"/>
    <x v="2"/>
    <x v="12"/>
    <n v="56.1"/>
    <n v="224.4"/>
    <x v="40"/>
    <x v="37"/>
    <s v="F"/>
    <x v="3"/>
    <x v="2"/>
    <x v="0"/>
    <x v="9"/>
    <x v="7"/>
    <x v="6"/>
    <x v="2"/>
  </r>
  <r>
    <x v="1048"/>
    <x v="3"/>
    <x v="0"/>
    <n v="58.5"/>
    <n v="58.5"/>
    <x v="41"/>
    <x v="48"/>
    <s v="F"/>
    <x v="1"/>
    <x v="2"/>
    <x v="0"/>
    <x v="9"/>
    <x v="5"/>
    <x v="6"/>
    <x v="2"/>
  </r>
  <r>
    <x v="1049"/>
    <x v="6"/>
    <x v="0"/>
    <n v="84.2"/>
    <n v="84.2"/>
    <x v="41"/>
    <x v="45"/>
    <s v="M"/>
    <x v="3"/>
    <x v="0"/>
    <x v="0"/>
    <x v="11"/>
    <x v="1"/>
    <x v="6"/>
    <x v="1"/>
  </r>
  <r>
    <x v="1050"/>
    <x v="11"/>
    <x v="12"/>
    <n v="52"/>
    <n v="208"/>
    <x v="41"/>
    <x v="42"/>
    <s v="M"/>
    <x v="0"/>
    <x v="0"/>
    <x v="0"/>
    <x v="11"/>
    <x v="2"/>
    <x v="6"/>
    <x v="1"/>
  </r>
  <r>
    <x v="1051"/>
    <x v="4"/>
    <x v="9"/>
    <n v="31.5"/>
    <n v="157.5"/>
    <x v="41"/>
    <x v="44"/>
    <s v="F"/>
    <x v="0"/>
    <x v="2"/>
    <x v="0"/>
    <x v="11"/>
    <x v="3"/>
    <x v="6"/>
    <x v="2"/>
  </r>
  <r>
    <x v="1052"/>
    <x v="16"/>
    <x v="2"/>
    <n v="46.2"/>
    <n v="138.60000000000002"/>
    <x v="41"/>
    <x v="44"/>
    <s v="M"/>
    <x v="0"/>
    <x v="0"/>
    <x v="0"/>
    <x v="53"/>
    <x v="3"/>
    <x v="6"/>
    <x v="1"/>
  </r>
  <r>
    <x v="1053"/>
    <x v="2"/>
    <x v="13"/>
    <n v="135"/>
    <n v="810"/>
    <x v="41"/>
    <x v="44"/>
    <s v="F"/>
    <x v="1"/>
    <x v="2"/>
    <x v="0"/>
    <x v="18"/>
    <x v="3"/>
    <x v="6"/>
    <x v="2"/>
  </r>
  <r>
    <x v="1054"/>
    <x v="12"/>
    <x v="2"/>
    <n v="92.2"/>
    <n v="276.60000000000002"/>
    <x v="41"/>
    <x v="48"/>
    <s v="M"/>
    <x v="0"/>
    <x v="0"/>
    <x v="0"/>
    <x v="21"/>
    <x v="5"/>
    <x v="6"/>
    <x v="1"/>
  </r>
  <r>
    <x v="1055"/>
    <x v="8"/>
    <x v="0"/>
    <n v="36.6"/>
    <n v="36.6"/>
    <x v="41"/>
    <x v="45"/>
    <s v="M"/>
    <x v="2"/>
    <x v="2"/>
    <x v="0"/>
    <x v="21"/>
    <x v="1"/>
    <x v="6"/>
    <x v="1"/>
  </r>
  <r>
    <x v="1056"/>
    <x v="9"/>
    <x v="1"/>
    <n v="50.6"/>
    <n v="101.2"/>
    <x v="41"/>
    <x v="42"/>
    <s v="F"/>
    <x v="0"/>
    <x v="0"/>
    <x v="0"/>
    <x v="2"/>
    <x v="2"/>
    <x v="6"/>
    <x v="2"/>
  </r>
  <r>
    <x v="1057"/>
    <x v="18"/>
    <x v="3"/>
    <n v="56.7"/>
    <n v="396.90000000000003"/>
    <x v="41"/>
    <x v="42"/>
    <s v="F"/>
    <x v="0"/>
    <x v="0"/>
    <x v="0"/>
    <x v="2"/>
    <x v="2"/>
    <x v="6"/>
    <x v="2"/>
  </r>
  <r>
    <x v="1058"/>
    <x v="9"/>
    <x v="15"/>
    <n v="22.9"/>
    <n v="297.7"/>
    <x v="41"/>
    <x v="44"/>
    <s v="F"/>
    <x v="0"/>
    <x v="1"/>
    <x v="0"/>
    <x v="44"/>
    <x v="3"/>
    <x v="6"/>
    <x v="2"/>
  </r>
  <r>
    <x v="1059"/>
    <x v="15"/>
    <x v="10"/>
    <n v="53.6"/>
    <n v="1018.4"/>
    <x v="41"/>
    <x v="44"/>
    <s v="M"/>
    <x v="0"/>
    <x v="0"/>
    <x v="0"/>
    <x v="22"/>
    <x v="3"/>
    <x v="6"/>
    <x v="1"/>
  </r>
  <r>
    <x v="1060"/>
    <x v="18"/>
    <x v="1"/>
    <n v="30.2"/>
    <n v="60.4"/>
    <x v="41"/>
    <x v="45"/>
    <s v=""/>
    <x v="2"/>
    <x v="2"/>
    <x v="0"/>
    <x v="3"/>
    <x v="1"/>
    <x v="6"/>
    <x v="0"/>
  </r>
  <r>
    <x v="1061"/>
    <x v="15"/>
    <x v="13"/>
    <n v="83.4"/>
    <n v="500.40000000000003"/>
    <x v="41"/>
    <x v="44"/>
    <s v="M"/>
    <x v="1"/>
    <x v="2"/>
    <x v="0"/>
    <x v="3"/>
    <x v="3"/>
    <x v="6"/>
    <x v="1"/>
  </r>
  <r>
    <x v="1062"/>
    <x v="13"/>
    <x v="4"/>
    <n v="16.600000000000001"/>
    <n v="199.20000000000002"/>
    <x v="41"/>
    <x v="45"/>
    <s v="M"/>
    <x v="1"/>
    <x v="0"/>
    <x v="0"/>
    <x v="3"/>
    <x v="1"/>
    <x v="6"/>
    <x v="1"/>
  </r>
  <r>
    <x v="1063"/>
    <x v="8"/>
    <x v="14"/>
    <n v="21.9"/>
    <n v="372.29999999999995"/>
    <x v="41"/>
    <x v="45"/>
    <s v="F"/>
    <x v="4"/>
    <x v="1"/>
    <x v="0"/>
    <x v="3"/>
    <x v="1"/>
    <x v="6"/>
    <x v="2"/>
  </r>
  <r>
    <x v="1064"/>
    <x v="8"/>
    <x v="31"/>
    <n v="33.799999999999997"/>
    <n v="946.39999999999986"/>
    <x v="41"/>
    <x v="45"/>
    <s v="M"/>
    <x v="2"/>
    <x v="4"/>
    <x v="0"/>
    <x v="3"/>
    <x v="1"/>
    <x v="6"/>
    <x v="1"/>
  </r>
  <r>
    <x v="1065"/>
    <x v="18"/>
    <x v="1"/>
    <n v="53.2"/>
    <n v="106.4"/>
    <x v="41"/>
    <x v="40"/>
    <s v="M"/>
    <x v="1"/>
    <x v="0"/>
    <x v="0"/>
    <x v="3"/>
    <x v="7"/>
    <x v="6"/>
    <x v="1"/>
  </r>
  <r>
    <x v="1066"/>
    <x v="2"/>
    <x v="1"/>
    <n v="176.7"/>
    <n v="353.4"/>
    <x v="41"/>
    <x v="42"/>
    <s v="F"/>
    <x v="2"/>
    <x v="0"/>
    <x v="0"/>
    <x v="3"/>
    <x v="2"/>
    <x v="6"/>
    <x v="2"/>
  </r>
  <r>
    <x v="1067"/>
    <x v="12"/>
    <x v="2"/>
    <n v="54"/>
    <n v="162"/>
    <x v="41"/>
    <x v="42"/>
    <s v="M"/>
    <x v="0"/>
    <x v="1"/>
    <x v="0"/>
    <x v="3"/>
    <x v="2"/>
    <x v="6"/>
    <x v="1"/>
  </r>
  <r>
    <x v="1068"/>
    <x v="9"/>
    <x v="1"/>
    <n v="70.099999999999994"/>
    <n v="140.19999999999999"/>
    <x v="41"/>
    <x v="46"/>
    <s v="F"/>
    <x v="3"/>
    <x v="2"/>
    <x v="0"/>
    <x v="3"/>
    <x v="9"/>
    <x v="6"/>
    <x v="2"/>
  </r>
  <r>
    <x v="1069"/>
    <x v="8"/>
    <x v="0"/>
    <n v="26.5"/>
    <n v="26.5"/>
    <x v="41"/>
    <x v="45"/>
    <s v="F"/>
    <x v="1"/>
    <x v="0"/>
    <x v="0"/>
    <x v="3"/>
    <x v="1"/>
    <x v="6"/>
    <x v="2"/>
  </r>
  <r>
    <x v="1070"/>
    <x v="7"/>
    <x v="9"/>
    <n v="89"/>
    <n v="445"/>
    <x v="41"/>
    <x v="45"/>
    <s v="M"/>
    <x v="2"/>
    <x v="4"/>
    <x v="0"/>
    <x v="3"/>
    <x v="1"/>
    <x v="6"/>
    <x v="1"/>
  </r>
  <r>
    <x v="1071"/>
    <x v="1"/>
    <x v="13"/>
    <n v="47"/>
    <n v="282"/>
    <x v="41"/>
    <x v="42"/>
    <s v="F"/>
    <x v="3"/>
    <x v="0"/>
    <x v="0"/>
    <x v="24"/>
    <x v="2"/>
    <x v="6"/>
    <x v="2"/>
  </r>
  <r>
    <x v="1072"/>
    <x v="3"/>
    <x v="1"/>
    <n v="55.2"/>
    <n v="110.4"/>
    <x v="41"/>
    <x v="42"/>
    <s v="M"/>
    <x v="1"/>
    <x v="1"/>
    <x v="0"/>
    <x v="6"/>
    <x v="2"/>
    <x v="6"/>
    <x v="1"/>
  </r>
  <r>
    <x v="1073"/>
    <x v="8"/>
    <x v="39"/>
    <n v="33.299999999999997"/>
    <n v="1398.6"/>
    <x v="41"/>
    <x v="51"/>
    <s v="M"/>
    <x v="1"/>
    <x v="2"/>
    <x v="0"/>
    <x v="6"/>
    <x v="12"/>
    <x v="6"/>
    <x v="1"/>
  </r>
  <r>
    <x v="1074"/>
    <x v="2"/>
    <x v="12"/>
    <n v="110.9"/>
    <n v="443.6"/>
    <x v="42"/>
    <x v="44"/>
    <s v="M"/>
    <x v="2"/>
    <x v="4"/>
    <x v="0"/>
    <x v="6"/>
    <x v="7"/>
    <x v="6"/>
    <x v="1"/>
  </r>
  <r>
    <x v="1075"/>
    <x v="2"/>
    <x v="13"/>
    <n v="67.3"/>
    <n v="403.79999999999995"/>
    <x v="42"/>
    <x v="45"/>
    <s v="M"/>
    <x v="0"/>
    <x v="0"/>
    <x v="0"/>
    <x v="8"/>
    <x v="3"/>
    <x v="6"/>
    <x v="1"/>
  </r>
  <r>
    <x v="1076"/>
    <x v="6"/>
    <x v="2"/>
    <n v="69.7"/>
    <n v="209.10000000000002"/>
    <x v="42"/>
    <x v="45"/>
    <s v="M"/>
    <x v="2"/>
    <x v="1"/>
    <x v="0"/>
    <x v="8"/>
    <x v="3"/>
    <x v="6"/>
    <x v="1"/>
  </r>
  <r>
    <x v="1077"/>
    <x v="5"/>
    <x v="0"/>
    <n v="39.1"/>
    <n v="39.1"/>
    <x v="42"/>
    <x v="43"/>
    <s v="M"/>
    <x v="0"/>
    <x v="1"/>
    <x v="0"/>
    <x v="17"/>
    <x v="0"/>
    <x v="6"/>
    <x v="1"/>
  </r>
  <r>
    <x v="1078"/>
    <x v="2"/>
    <x v="2"/>
    <n v="208.6"/>
    <n v="625.79999999999995"/>
    <x v="42"/>
    <x v="44"/>
    <s v="M"/>
    <x v="4"/>
    <x v="2"/>
    <x v="0"/>
    <x v="17"/>
    <x v="7"/>
    <x v="6"/>
    <x v="1"/>
  </r>
  <r>
    <x v="1079"/>
    <x v="15"/>
    <x v="2"/>
    <n v="27.8"/>
    <n v="83.4"/>
    <x v="42"/>
    <x v="45"/>
    <s v="M"/>
    <x v="3"/>
    <x v="1"/>
    <x v="0"/>
    <x v="11"/>
    <x v="3"/>
    <x v="6"/>
    <x v="1"/>
  </r>
  <r>
    <x v="1080"/>
    <x v="10"/>
    <x v="9"/>
    <n v="29.4"/>
    <n v="147"/>
    <x v="42"/>
    <x v="42"/>
    <s v="F"/>
    <x v="0"/>
    <x v="0"/>
    <x v="0"/>
    <x v="11"/>
    <x v="1"/>
    <x v="6"/>
    <x v="2"/>
  </r>
  <r>
    <x v="1081"/>
    <x v="9"/>
    <x v="1"/>
    <n v="29.2"/>
    <n v="58.4"/>
    <x v="42"/>
    <x v="42"/>
    <s v="F"/>
    <x v="1"/>
    <x v="2"/>
    <x v="0"/>
    <x v="20"/>
    <x v="1"/>
    <x v="6"/>
    <x v="2"/>
  </r>
  <r>
    <x v="1082"/>
    <x v="10"/>
    <x v="9"/>
    <n v="26.5"/>
    <n v="132.5"/>
    <x v="42"/>
    <x v="42"/>
    <s v="F"/>
    <x v="0"/>
    <x v="0"/>
    <x v="0"/>
    <x v="52"/>
    <x v="1"/>
    <x v="6"/>
    <x v="2"/>
  </r>
  <r>
    <x v="1083"/>
    <x v="5"/>
    <x v="0"/>
    <n v="30.3"/>
    <n v="30.3"/>
    <x v="42"/>
    <x v="45"/>
    <s v="F"/>
    <x v="4"/>
    <x v="1"/>
    <x v="0"/>
    <x v="13"/>
    <x v="3"/>
    <x v="6"/>
    <x v="2"/>
  </r>
  <r>
    <x v="1084"/>
    <x v="16"/>
    <x v="4"/>
    <n v="39.700000000000003"/>
    <n v="476.40000000000003"/>
    <x v="42"/>
    <x v="45"/>
    <s v="F"/>
    <x v="0"/>
    <x v="0"/>
    <x v="0"/>
    <x v="21"/>
    <x v="3"/>
    <x v="6"/>
    <x v="2"/>
  </r>
  <r>
    <x v="1085"/>
    <x v="7"/>
    <x v="7"/>
    <n v="58.9"/>
    <n v="589"/>
    <x v="42"/>
    <x v="42"/>
    <s v="F"/>
    <x v="1"/>
    <x v="4"/>
    <x v="0"/>
    <x v="21"/>
    <x v="1"/>
    <x v="6"/>
    <x v="2"/>
  </r>
  <r>
    <x v="1086"/>
    <x v="2"/>
    <x v="1"/>
    <n v="174.1"/>
    <n v="348.2"/>
    <x v="42"/>
    <x v="42"/>
    <s v="F"/>
    <x v="0"/>
    <x v="1"/>
    <x v="0"/>
    <x v="46"/>
    <x v="1"/>
    <x v="6"/>
    <x v="2"/>
  </r>
  <r>
    <x v="1087"/>
    <x v="6"/>
    <x v="1"/>
    <n v="70.8"/>
    <n v="141.6"/>
    <x v="42"/>
    <x v="48"/>
    <s v="M"/>
    <x v="2"/>
    <x v="0"/>
    <x v="0"/>
    <x v="22"/>
    <x v="2"/>
    <x v="6"/>
    <x v="1"/>
  </r>
  <r>
    <x v="1088"/>
    <x v="7"/>
    <x v="1"/>
    <n v="57.4"/>
    <n v="114.8"/>
    <x v="42"/>
    <x v="42"/>
    <s v="F"/>
    <x v="1"/>
    <x v="1"/>
    <x v="0"/>
    <x v="34"/>
    <x v="1"/>
    <x v="6"/>
    <x v="2"/>
  </r>
  <r>
    <x v="1089"/>
    <x v="0"/>
    <x v="1"/>
    <n v="28.5"/>
    <n v="57"/>
    <x v="42"/>
    <x v="42"/>
    <s v="M"/>
    <x v="3"/>
    <x v="1"/>
    <x v="0"/>
    <x v="3"/>
    <x v="1"/>
    <x v="6"/>
    <x v="1"/>
  </r>
  <r>
    <x v="1090"/>
    <x v="2"/>
    <x v="28"/>
    <n v="106.6"/>
    <n v="2132"/>
    <x v="42"/>
    <x v="45"/>
    <s v=""/>
    <x v="1"/>
    <x v="4"/>
    <x v="0"/>
    <x v="3"/>
    <x v="3"/>
    <x v="6"/>
    <x v="0"/>
  </r>
  <r>
    <x v="1091"/>
    <x v="2"/>
    <x v="2"/>
    <n v="119.7"/>
    <n v="359.1"/>
    <x v="42"/>
    <x v="45"/>
    <s v="F"/>
    <x v="1"/>
    <x v="4"/>
    <x v="0"/>
    <x v="3"/>
    <x v="3"/>
    <x v="6"/>
    <x v="2"/>
  </r>
  <r>
    <x v="1092"/>
    <x v="18"/>
    <x v="0"/>
    <n v="73.3"/>
    <n v="73.3"/>
    <x v="42"/>
    <x v="43"/>
    <s v="F"/>
    <x v="0"/>
    <x v="2"/>
    <x v="0"/>
    <x v="3"/>
    <x v="0"/>
    <x v="6"/>
    <x v="2"/>
  </r>
  <r>
    <x v="1093"/>
    <x v="0"/>
    <x v="1"/>
    <n v="25.8"/>
    <n v="51.6"/>
    <x v="42"/>
    <x v="52"/>
    <s v="M"/>
    <x v="2"/>
    <x v="0"/>
    <x v="0"/>
    <x v="3"/>
    <x v="12"/>
    <x v="6"/>
    <x v="1"/>
  </r>
  <r>
    <x v="1094"/>
    <x v="17"/>
    <x v="2"/>
    <n v="49.1"/>
    <n v="147.30000000000001"/>
    <x v="42"/>
    <x v="42"/>
    <s v="F"/>
    <x v="0"/>
    <x v="0"/>
    <x v="0"/>
    <x v="24"/>
    <x v="1"/>
    <x v="6"/>
    <x v="2"/>
  </r>
  <r>
    <x v="1095"/>
    <x v="1"/>
    <x v="0"/>
    <n v="44.9"/>
    <n v="44.9"/>
    <x v="42"/>
    <x v="48"/>
    <s v="F"/>
    <x v="3"/>
    <x v="2"/>
    <x v="0"/>
    <x v="6"/>
    <x v="2"/>
    <x v="6"/>
    <x v="2"/>
  </r>
  <r>
    <x v="1096"/>
    <x v="15"/>
    <x v="3"/>
    <n v="29.9"/>
    <n v="209.29999999999998"/>
    <x v="42"/>
    <x v="45"/>
    <s v="F"/>
    <x v="0"/>
    <x v="0"/>
    <x v="0"/>
    <x v="6"/>
    <x v="3"/>
    <x v="6"/>
    <x v="2"/>
  </r>
  <r>
    <x v="1097"/>
    <x v="7"/>
    <x v="1"/>
    <n v="54.3"/>
    <n v="108.6"/>
    <x v="43"/>
    <x v="42"/>
    <s v="M"/>
    <x v="3"/>
    <x v="0"/>
    <x v="0"/>
    <x v="36"/>
    <x v="3"/>
    <x v="6"/>
    <x v="1"/>
  </r>
  <r>
    <x v="1098"/>
    <x v="9"/>
    <x v="12"/>
    <n v="57"/>
    <n v="228"/>
    <x v="43"/>
    <x v="48"/>
    <s v="F"/>
    <x v="0"/>
    <x v="0"/>
    <x v="0"/>
    <x v="8"/>
    <x v="1"/>
    <x v="6"/>
    <x v="2"/>
  </r>
  <r>
    <x v="1099"/>
    <x v="2"/>
    <x v="0"/>
    <n v="139.19999999999999"/>
    <n v="139.19999999999999"/>
    <x v="43"/>
    <x v="42"/>
    <s v="F"/>
    <x v="3"/>
    <x v="2"/>
    <x v="0"/>
    <x v="8"/>
    <x v="3"/>
    <x v="6"/>
    <x v="2"/>
  </r>
  <r>
    <x v="1100"/>
    <x v="10"/>
    <x v="0"/>
    <n v="33"/>
    <n v="33"/>
    <x v="43"/>
    <x v="41"/>
    <s v="F"/>
    <x v="0"/>
    <x v="2"/>
    <x v="0"/>
    <x v="8"/>
    <x v="2"/>
    <x v="6"/>
    <x v="2"/>
  </r>
  <r>
    <x v="1101"/>
    <x v="11"/>
    <x v="13"/>
    <n v="80.2"/>
    <n v="481.20000000000005"/>
    <x v="43"/>
    <x v="48"/>
    <s v="M"/>
    <x v="1"/>
    <x v="4"/>
    <x v="0"/>
    <x v="8"/>
    <x v="1"/>
    <x v="6"/>
    <x v="1"/>
  </r>
  <r>
    <x v="1102"/>
    <x v="18"/>
    <x v="8"/>
    <n v="49"/>
    <n v="392"/>
    <x v="43"/>
    <x v="42"/>
    <s v=""/>
    <x v="2"/>
    <x v="1"/>
    <x v="0"/>
    <x v="9"/>
    <x v="3"/>
    <x v="6"/>
    <x v="0"/>
  </r>
  <r>
    <x v="1103"/>
    <x v="1"/>
    <x v="12"/>
    <n v="104.4"/>
    <n v="417.6"/>
    <x v="43"/>
    <x v="45"/>
    <s v="F"/>
    <x v="0"/>
    <x v="0"/>
    <x v="0"/>
    <x v="9"/>
    <x v="7"/>
    <x v="6"/>
    <x v="2"/>
  </r>
  <r>
    <x v="1104"/>
    <x v="3"/>
    <x v="0"/>
    <n v="41.6"/>
    <n v="41.6"/>
    <x v="43"/>
    <x v="41"/>
    <s v="M"/>
    <x v="3"/>
    <x v="0"/>
    <x v="0"/>
    <x v="11"/>
    <x v="2"/>
    <x v="6"/>
    <x v="1"/>
  </r>
  <r>
    <x v="1105"/>
    <x v="19"/>
    <x v="1"/>
    <n v="16.399999999999999"/>
    <n v="32.799999999999997"/>
    <x v="43"/>
    <x v="42"/>
    <s v="O"/>
    <x v="0"/>
    <x v="2"/>
    <x v="0"/>
    <x v="11"/>
    <x v="3"/>
    <x v="6"/>
    <x v="3"/>
  </r>
  <r>
    <x v="1106"/>
    <x v="8"/>
    <x v="1"/>
    <n v="22"/>
    <n v="44"/>
    <x v="43"/>
    <x v="42"/>
    <s v="M"/>
    <x v="2"/>
    <x v="2"/>
    <x v="0"/>
    <x v="53"/>
    <x v="3"/>
    <x v="6"/>
    <x v="1"/>
  </r>
  <r>
    <x v="1107"/>
    <x v="15"/>
    <x v="1"/>
    <n v="33.6"/>
    <n v="67.2"/>
    <x v="43"/>
    <x v="50"/>
    <s v="F"/>
    <x v="0"/>
    <x v="0"/>
    <x v="0"/>
    <x v="21"/>
    <x v="0"/>
    <x v="6"/>
    <x v="2"/>
  </r>
  <r>
    <x v="1108"/>
    <x v="11"/>
    <x v="13"/>
    <n v="43"/>
    <n v="258"/>
    <x v="43"/>
    <x v="42"/>
    <s v="F"/>
    <x v="2"/>
    <x v="0"/>
    <x v="0"/>
    <x v="21"/>
    <x v="3"/>
    <x v="6"/>
    <x v="2"/>
  </r>
  <r>
    <x v="1109"/>
    <x v="6"/>
    <x v="9"/>
    <n v="108.8"/>
    <n v="544"/>
    <x v="43"/>
    <x v="41"/>
    <s v="F"/>
    <x v="4"/>
    <x v="2"/>
    <x v="0"/>
    <x v="21"/>
    <x v="2"/>
    <x v="6"/>
    <x v="2"/>
  </r>
  <r>
    <x v="1110"/>
    <x v="0"/>
    <x v="11"/>
    <n v="29.3"/>
    <n v="263.7"/>
    <x v="43"/>
    <x v="48"/>
    <s v="M"/>
    <x v="4"/>
    <x v="2"/>
    <x v="0"/>
    <x v="21"/>
    <x v="1"/>
    <x v="6"/>
    <x v="1"/>
  </r>
  <r>
    <x v="1111"/>
    <x v="2"/>
    <x v="0"/>
    <n v="122.7"/>
    <n v="122.7"/>
    <x v="43"/>
    <x v="41"/>
    <s v="O"/>
    <x v="0"/>
    <x v="2"/>
    <x v="0"/>
    <x v="1"/>
    <x v="2"/>
    <x v="6"/>
    <x v="3"/>
  </r>
  <r>
    <x v="1112"/>
    <x v="4"/>
    <x v="3"/>
    <n v="22.9"/>
    <n v="160.29999999999998"/>
    <x v="43"/>
    <x v="42"/>
    <s v="F"/>
    <x v="0"/>
    <x v="0"/>
    <x v="0"/>
    <x v="42"/>
    <x v="3"/>
    <x v="6"/>
    <x v="2"/>
  </r>
  <r>
    <x v="1113"/>
    <x v="8"/>
    <x v="7"/>
    <n v="25.5"/>
    <n v="255"/>
    <x v="43"/>
    <x v="49"/>
    <s v="F"/>
    <x v="0"/>
    <x v="0"/>
    <x v="0"/>
    <x v="33"/>
    <x v="6"/>
    <x v="6"/>
    <x v="2"/>
  </r>
  <r>
    <x v="1114"/>
    <x v="17"/>
    <x v="2"/>
    <n v="23.4"/>
    <n v="70.199999999999989"/>
    <x v="43"/>
    <x v="43"/>
    <s v="F"/>
    <x v="0"/>
    <x v="2"/>
    <x v="0"/>
    <x v="3"/>
    <x v="5"/>
    <x v="6"/>
    <x v="2"/>
  </r>
  <r>
    <x v="1115"/>
    <x v="5"/>
    <x v="8"/>
    <n v="27.4"/>
    <n v="219.2"/>
    <x v="43"/>
    <x v="41"/>
    <s v="F"/>
    <x v="2"/>
    <x v="0"/>
    <x v="0"/>
    <x v="3"/>
    <x v="2"/>
    <x v="6"/>
    <x v="2"/>
  </r>
  <r>
    <x v="1116"/>
    <x v="5"/>
    <x v="9"/>
    <n v="68.400000000000006"/>
    <n v="342"/>
    <x v="43"/>
    <x v="42"/>
    <s v="F"/>
    <x v="0"/>
    <x v="0"/>
    <x v="0"/>
    <x v="3"/>
    <x v="3"/>
    <x v="6"/>
    <x v="2"/>
  </r>
  <r>
    <x v="1117"/>
    <x v="6"/>
    <x v="0"/>
    <n v="51.9"/>
    <n v="51.9"/>
    <x v="43"/>
    <x v="45"/>
    <s v="F"/>
    <x v="0"/>
    <x v="0"/>
    <x v="0"/>
    <x v="3"/>
    <x v="7"/>
    <x v="6"/>
    <x v="2"/>
  </r>
  <r>
    <x v="1118"/>
    <x v="0"/>
    <x v="9"/>
    <n v="26.4"/>
    <n v="132"/>
    <x v="43"/>
    <x v="41"/>
    <s v="F"/>
    <x v="0"/>
    <x v="2"/>
    <x v="0"/>
    <x v="3"/>
    <x v="2"/>
    <x v="6"/>
    <x v="2"/>
  </r>
  <r>
    <x v="1119"/>
    <x v="12"/>
    <x v="1"/>
    <n v="117"/>
    <n v="234"/>
    <x v="43"/>
    <x v="42"/>
    <s v="F"/>
    <x v="1"/>
    <x v="1"/>
    <x v="0"/>
    <x v="3"/>
    <x v="3"/>
    <x v="6"/>
    <x v="2"/>
  </r>
  <r>
    <x v="1120"/>
    <x v="7"/>
    <x v="2"/>
    <n v="49.6"/>
    <n v="148.80000000000001"/>
    <x v="44"/>
    <x v="41"/>
    <s v="F"/>
    <x v="0"/>
    <x v="0"/>
    <x v="0"/>
    <x v="3"/>
    <x v="1"/>
    <x v="6"/>
    <x v="2"/>
  </r>
  <r>
    <x v="1121"/>
    <x v="4"/>
    <x v="2"/>
    <n v="38"/>
    <n v="114"/>
    <x v="44"/>
    <x v="43"/>
    <s v="M"/>
    <x v="2"/>
    <x v="4"/>
    <x v="0"/>
    <x v="3"/>
    <x v="2"/>
    <x v="6"/>
    <x v="1"/>
  </r>
  <r>
    <x v="1122"/>
    <x v="0"/>
    <x v="2"/>
    <n v="20.6"/>
    <n v="61.800000000000004"/>
    <x v="44"/>
    <x v="41"/>
    <s v="F"/>
    <x v="4"/>
    <x v="2"/>
    <x v="0"/>
    <x v="3"/>
    <x v="1"/>
    <x v="6"/>
    <x v="2"/>
  </r>
  <r>
    <x v="1123"/>
    <x v="0"/>
    <x v="1"/>
    <n v="16"/>
    <n v="32"/>
    <x v="44"/>
    <x v="48"/>
    <s v="M"/>
    <x v="1"/>
    <x v="1"/>
    <x v="0"/>
    <x v="49"/>
    <x v="3"/>
    <x v="6"/>
    <x v="1"/>
  </r>
  <r>
    <x v="1124"/>
    <x v="15"/>
    <x v="12"/>
    <n v="49.3"/>
    <n v="197.2"/>
    <x v="44"/>
    <x v="48"/>
    <s v="F"/>
    <x v="2"/>
    <x v="0"/>
    <x v="0"/>
    <x v="23"/>
    <x v="3"/>
    <x v="6"/>
    <x v="2"/>
  </r>
  <r>
    <x v="1125"/>
    <x v="9"/>
    <x v="1"/>
    <n v="24.1"/>
    <n v="48.2"/>
    <x v="44"/>
    <x v="50"/>
    <s v="F"/>
    <x v="0"/>
    <x v="0"/>
    <x v="0"/>
    <x v="6"/>
    <x v="5"/>
    <x v="6"/>
    <x v="2"/>
  </r>
  <r>
    <x v="1126"/>
    <x v="15"/>
    <x v="8"/>
    <n v="32.700000000000003"/>
    <n v="261.60000000000002"/>
    <x v="44"/>
    <x v="48"/>
    <s v="F"/>
    <x v="1"/>
    <x v="0"/>
    <x v="0"/>
    <x v="6"/>
    <x v="3"/>
    <x v="6"/>
    <x v="2"/>
  </r>
  <r>
    <x v="1127"/>
    <x v="6"/>
    <x v="2"/>
    <n v="74.400000000000006"/>
    <n v="223.20000000000002"/>
    <x v="44"/>
    <x v="48"/>
    <s v="F"/>
    <x v="3"/>
    <x v="2"/>
    <x v="0"/>
    <x v="8"/>
    <x v="3"/>
    <x v="6"/>
    <x v="2"/>
  </r>
  <r>
    <x v="1128"/>
    <x v="12"/>
    <x v="0"/>
    <n v="45.6"/>
    <n v="45.6"/>
    <x v="44"/>
    <x v="50"/>
    <s v="F"/>
    <x v="4"/>
    <x v="0"/>
    <x v="0"/>
    <x v="8"/>
    <x v="5"/>
    <x v="6"/>
    <x v="2"/>
  </r>
  <r>
    <x v="1129"/>
    <x v="8"/>
    <x v="8"/>
    <n v="19.600000000000001"/>
    <n v="156.80000000000001"/>
    <x v="44"/>
    <x v="53"/>
    <s v="F"/>
    <x v="0"/>
    <x v="0"/>
    <x v="0"/>
    <x v="8"/>
    <x v="10"/>
    <x v="6"/>
    <x v="2"/>
  </r>
  <r>
    <x v="1130"/>
    <x v="9"/>
    <x v="0"/>
    <n v="51.8"/>
    <n v="51.8"/>
    <x v="44"/>
    <x v="48"/>
    <s v="F"/>
    <x v="1"/>
    <x v="0"/>
    <x v="0"/>
    <x v="8"/>
    <x v="3"/>
    <x v="6"/>
    <x v="2"/>
  </r>
  <r>
    <x v="1131"/>
    <x v="6"/>
    <x v="0"/>
    <n v="74.7"/>
    <n v="74.7"/>
    <x v="44"/>
    <x v="48"/>
    <s v="M"/>
    <x v="0"/>
    <x v="1"/>
    <x v="0"/>
    <x v="8"/>
    <x v="3"/>
    <x v="6"/>
    <x v="1"/>
  </r>
  <r>
    <x v="1132"/>
    <x v="19"/>
    <x v="2"/>
    <n v="22.4"/>
    <n v="67.199999999999989"/>
    <x v="44"/>
    <x v="48"/>
    <s v="F"/>
    <x v="1"/>
    <x v="2"/>
    <x v="0"/>
    <x v="9"/>
    <x v="3"/>
    <x v="6"/>
    <x v="2"/>
  </r>
  <r>
    <x v="1133"/>
    <x v="1"/>
    <x v="12"/>
    <n v="31.4"/>
    <n v="125.6"/>
    <x v="44"/>
    <x v="48"/>
    <s v="F"/>
    <x v="1"/>
    <x v="0"/>
    <x v="0"/>
    <x v="9"/>
    <x v="3"/>
    <x v="6"/>
    <x v="2"/>
  </r>
  <r>
    <x v="1134"/>
    <x v="6"/>
    <x v="0"/>
    <n v="94"/>
    <n v="94"/>
    <x v="44"/>
    <x v="42"/>
    <s v="F"/>
    <x v="1"/>
    <x v="2"/>
    <x v="0"/>
    <x v="10"/>
    <x v="7"/>
    <x v="6"/>
    <x v="2"/>
  </r>
  <r>
    <x v="1135"/>
    <x v="10"/>
    <x v="0"/>
    <n v="22.3"/>
    <n v="22.3"/>
    <x v="44"/>
    <x v="48"/>
    <s v="M"/>
    <x v="4"/>
    <x v="0"/>
    <x v="0"/>
    <x v="20"/>
    <x v="3"/>
    <x v="6"/>
    <x v="1"/>
  </r>
  <r>
    <x v="1136"/>
    <x v="0"/>
    <x v="0"/>
    <n v="21.9"/>
    <n v="21.9"/>
    <x v="44"/>
    <x v="43"/>
    <s v="F"/>
    <x v="2"/>
    <x v="0"/>
    <x v="0"/>
    <x v="21"/>
    <x v="2"/>
    <x v="6"/>
    <x v="2"/>
  </r>
  <r>
    <x v="1137"/>
    <x v="17"/>
    <x v="2"/>
    <n v="27"/>
    <n v="81"/>
    <x v="44"/>
    <x v="41"/>
    <s v="F"/>
    <x v="4"/>
    <x v="2"/>
    <x v="0"/>
    <x v="2"/>
    <x v="1"/>
    <x v="6"/>
    <x v="2"/>
  </r>
  <r>
    <x v="1138"/>
    <x v="2"/>
    <x v="12"/>
    <n v="149.6"/>
    <n v="598.4"/>
    <x v="44"/>
    <x v="42"/>
    <s v="F"/>
    <x v="4"/>
    <x v="0"/>
    <x v="0"/>
    <x v="22"/>
    <x v="7"/>
    <x v="6"/>
    <x v="2"/>
  </r>
  <r>
    <x v="1139"/>
    <x v="2"/>
    <x v="12"/>
    <n v="129.1"/>
    <n v="516.4"/>
    <x v="44"/>
    <x v="54"/>
    <s v="M"/>
    <x v="0"/>
    <x v="1"/>
    <x v="0"/>
    <x v="3"/>
    <x v="14"/>
    <x v="6"/>
    <x v="1"/>
  </r>
  <r>
    <x v="1140"/>
    <x v="1"/>
    <x v="4"/>
    <n v="40.4"/>
    <n v="484.79999999999995"/>
    <x v="44"/>
    <x v="48"/>
    <s v="M"/>
    <x v="1"/>
    <x v="1"/>
    <x v="0"/>
    <x v="3"/>
    <x v="3"/>
    <x v="6"/>
    <x v="1"/>
  </r>
  <r>
    <x v="1141"/>
    <x v="4"/>
    <x v="2"/>
    <n v="48.5"/>
    <n v="145.5"/>
    <x v="44"/>
    <x v="41"/>
    <s v="F"/>
    <x v="0"/>
    <x v="4"/>
    <x v="0"/>
    <x v="3"/>
    <x v="1"/>
    <x v="6"/>
    <x v="2"/>
  </r>
  <r>
    <x v="1142"/>
    <x v="9"/>
    <x v="1"/>
    <n v="37.6"/>
    <n v="75.2"/>
    <x v="44"/>
    <x v="41"/>
    <s v="F"/>
    <x v="1"/>
    <x v="2"/>
    <x v="0"/>
    <x v="3"/>
    <x v="1"/>
    <x v="6"/>
    <x v="2"/>
  </r>
  <r>
    <x v="1143"/>
    <x v="8"/>
    <x v="1"/>
    <n v="19.600000000000001"/>
    <n v="39.200000000000003"/>
    <x v="44"/>
    <x v="48"/>
    <s v="M"/>
    <x v="3"/>
    <x v="4"/>
    <x v="0"/>
    <x v="43"/>
    <x v="3"/>
    <x v="6"/>
    <x v="1"/>
  </r>
  <r>
    <x v="1144"/>
    <x v="8"/>
    <x v="9"/>
    <n v="18.5"/>
    <n v="92.5"/>
    <x v="44"/>
    <x v="48"/>
    <s v="F"/>
    <x v="2"/>
    <x v="1"/>
    <x v="0"/>
    <x v="6"/>
    <x v="3"/>
    <x v="6"/>
    <x v="2"/>
  </r>
  <r>
    <x v="1145"/>
    <x v="5"/>
    <x v="2"/>
    <n v="25.5"/>
    <n v="76.5"/>
    <x v="44"/>
    <x v="41"/>
    <s v="F"/>
    <x v="4"/>
    <x v="1"/>
    <x v="0"/>
    <x v="6"/>
    <x v="1"/>
    <x v="6"/>
    <x v="2"/>
  </r>
  <r>
    <x v="1146"/>
    <x v="2"/>
    <x v="1"/>
    <n v="94.7"/>
    <n v="189.4"/>
    <x v="44"/>
    <x v="48"/>
    <s v="F"/>
    <x v="2"/>
    <x v="0"/>
    <x v="0"/>
    <x v="36"/>
    <x v="3"/>
    <x v="6"/>
    <x v="2"/>
  </r>
  <r>
    <x v="1147"/>
    <x v="1"/>
    <x v="13"/>
    <n v="38.799999999999997"/>
    <n v="232.79999999999998"/>
    <x v="44"/>
    <x v="46"/>
    <s v="F"/>
    <x v="2"/>
    <x v="2"/>
    <x v="0"/>
    <x v="8"/>
    <x v="0"/>
    <x v="6"/>
    <x v="2"/>
  </r>
  <r>
    <x v="1148"/>
    <x v="9"/>
    <x v="1"/>
    <n v="49.4"/>
    <n v="98.8"/>
    <x v="45"/>
    <x v="55"/>
    <s v="M"/>
    <x v="4"/>
    <x v="1"/>
    <x v="0"/>
    <x v="8"/>
    <x v="9"/>
    <x v="6"/>
    <x v="1"/>
  </r>
  <r>
    <x v="1149"/>
    <x v="7"/>
    <x v="2"/>
    <n v="68"/>
    <n v="204"/>
    <x v="45"/>
    <x v="50"/>
    <s v="M"/>
    <x v="0"/>
    <x v="2"/>
    <x v="0"/>
    <x v="8"/>
    <x v="2"/>
    <x v="6"/>
    <x v="1"/>
  </r>
  <r>
    <x v="1150"/>
    <x v="15"/>
    <x v="3"/>
    <n v="63.7"/>
    <n v="445.90000000000003"/>
    <x v="45"/>
    <x v="41"/>
    <s v="F"/>
    <x v="2"/>
    <x v="2"/>
    <x v="0"/>
    <x v="8"/>
    <x v="3"/>
    <x v="6"/>
    <x v="2"/>
  </r>
  <r>
    <x v="1151"/>
    <x v="10"/>
    <x v="1"/>
    <n v="66.2"/>
    <n v="132.4"/>
    <x v="45"/>
    <x v="41"/>
    <s v="F"/>
    <x v="4"/>
    <x v="2"/>
    <x v="0"/>
    <x v="17"/>
    <x v="3"/>
    <x v="6"/>
    <x v="2"/>
  </r>
  <r>
    <x v="1152"/>
    <x v="12"/>
    <x v="2"/>
    <n v="32.299999999999997"/>
    <n v="96.899999999999991"/>
    <x v="45"/>
    <x v="41"/>
    <s v="O"/>
    <x v="2"/>
    <x v="1"/>
    <x v="0"/>
    <x v="9"/>
    <x v="3"/>
    <x v="6"/>
    <x v="3"/>
  </r>
  <r>
    <x v="1153"/>
    <x v="4"/>
    <x v="1"/>
    <n v="66.900000000000006"/>
    <n v="133.80000000000001"/>
    <x v="45"/>
    <x v="50"/>
    <s v="M"/>
    <x v="1"/>
    <x v="0"/>
    <x v="0"/>
    <x v="11"/>
    <x v="2"/>
    <x v="6"/>
    <x v="1"/>
  </r>
  <r>
    <x v="1154"/>
    <x v="4"/>
    <x v="4"/>
    <n v="25.2"/>
    <n v="302.39999999999998"/>
    <x v="45"/>
    <x v="46"/>
    <s v="F"/>
    <x v="0"/>
    <x v="1"/>
    <x v="0"/>
    <x v="11"/>
    <x v="5"/>
    <x v="6"/>
    <x v="2"/>
  </r>
  <r>
    <x v="1155"/>
    <x v="10"/>
    <x v="13"/>
    <n v="29.5"/>
    <n v="177"/>
    <x v="45"/>
    <x v="41"/>
    <s v="M"/>
    <x v="2"/>
    <x v="0"/>
    <x v="0"/>
    <x v="11"/>
    <x v="3"/>
    <x v="6"/>
    <x v="1"/>
  </r>
  <r>
    <x v="1156"/>
    <x v="8"/>
    <x v="9"/>
    <n v="21.6"/>
    <n v="108"/>
    <x v="45"/>
    <x v="43"/>
    <s v="F"/>
    <x v="0"/>
    <x v="2"/>
    <x v="0"/>
    <x v="32"/>
    <x v="1"/>
    <x v="6"/>
    <x v="2"/>
  </r>
  <r>
    <x v="1157"/>
    <x v="12"/>
    <x v="2"/>
    <n v="69"/>
    <n v="207"/>
    <x v="45"/>
    <x v="41"/>
    <s v="F"/>
    <x v="0"/>
    <x v="0"/>
    <x v="0"/>
    <x v="18"/>
    <x v="3"/>
    <x v="6"/>
    <x v="2"/>
  </r>
  <r>
    <x v="1158"/>
    <x v="7"/>
    <x v="1"/>
    <n v="115"/>
    <n v="230"/>
    <x v="45"/>
    <x v="46"/>
    <s v="M"/>
    <x v="0"/>
    <x v="2"/>
    <x v="0"/>
    <x v="18"/>
    <x v="5"/>
    <x v="6"/>
    <x v="1"/>
  </r>
  <r>
    <x v="1159"/>
    <x v="2"/>
    <x v="1"/>
    <n v="109.3"/>
    <n v="218.6"/>
    <x v="45"/>
    <x v="43"/>
    <s v=""/>
    <x v="3"/>
    <x v="1"/>
    <x v="0"/>
    <x v="19"/>
    <x v="1"/>
    <x v="6"/>
    <x v="0"/>
  </r>
  <r>
    <x v="1160"/>
    <x v="9"/>
    <x v="1"/>
    <n v="66.599999999999994"/>
    <n v="133.19999999999999"/>
    <x v="45"/>
    <x v="50"/>
    <s v=""/>
    <x v="4"/>
    <x v="1"/>
    <x v="0"/>
    <x v="19"/>
    <x v="2"/>
    <x v="6"/>
    <x v="0"/>
  </r>
  <r>
    <x v="1161"/>
    <x v="12"/>
    <x v="9"/>
    <n v="47.7"/>
    <n v="238.5"/>
    <x v="45"/>
    <x v="41"/>
    <s v="M"/>
    <x v="3"/>
    <x v="2"/>
    <x v="0"/>
    <x v="21"/>
    <x v="3"/>
    <x v="6"/>
    <x v="1"/>
  </r>
  <r>
    <x v="1162"/>
    <x v="8"/>
    <x v="1"/>
    <n v="46"/>
    <n v="92"/>
    <x v="45"/>
    <x v="41"/>
    <s v="F"/>
    <x v="4"/>
    <x v="4"/>
    <x v="0"/>
    <x v="22"/>
    <x v="3"/>
    <x v="6"/>
    <x v="2"/>
  </r>
  <r>
    <x v="1163"/>
    <x v="1"/>
    <x v="13"/>
    <n v="39.299999999999997"/>
    <n v="235.79999999999998"/>
    <x v="45"/>
    <x v="43"/>
    <s v="M"/>
    <x v="3"/>
    <x v="2"/>
    <x v="0"/>
    <x v="3"/>
    <x v="1"/>
    <x v="6"/>
    <x v="1"/>
  </r>
  <r>
    <x v="1164"/>
    <x v="9"/>
    <x v="0"/>
    <n v="70.2"/>
    <n v="70.2"/>
    <x v="45"/>
    <x v="41"/>
    <s v="F"/>
    <x v="0"/>
    <x v="4"/>
    <x v="0"/>
    <x v="3"/>
    <x v="3"/>
    <x v="6"/>
    <x v="2"/>
  </r>
  <r>
    <x v="1165"/>
    <x v="3"/>
    <x v="12"/>
    <n v="71.5"/>
    <n v="286"/>
    <x v="45"/>
    <x v="48"/>
    <s v="F"/>
    <x v="1"/>
    <x v="2"/>
    <x v="0"/>
    <x v="3"/>
    <x v="7"/>
    <x v="6"/>
    <x v="2"/>
  </r>
  <r>
    <x v="1166"/>
    <x v="10"/>
    <x v="3"/>
    <n v="31"/>
    <n v="217"/>
    <x v="45"/>
    <x v="56"/>
    <s v="F"/>
    <x v="3"/>
    <x v="2"/>
    <x v="0"/>
    <x v="3"/>
    <x v="6"/>
    <x v="6"/>
    <x v="2"/>
  </r>
  <r>
    <x v="1167"/>
    <x v="2"/>
    <x v="9"/>
    <n v="68.2"/>
    <n v="341"/>
    <x v="45"/>
    <x v="49"/>
    <s v="F"/>
    <x v="0"/>
    <x v="2"/>
    <x v="0"/>
    <x v="3"/>
    <x v="0"/>
    <x v="6"/>
    <x v="2"/>
  </r>
  <r>
    <x v="1168"/>
    <x v="2"/>
    <x v="0"/>
    <n v="91.4"/>
    <n v="91.4"/>
    <x v="45"/>
    <x v="46"/>
    <s v="F"/>
    <x v="1"/>
    <x v="2"/>
    <x v="0"/>
    <x v="6"/>
    <x v="5"/>
    <x v="6"/>
    <x v="2"/>
  </r>
  <r>
    <x v="1169"/>
    <x v="6"/>
    <x v="7"/>
    <n v="112.9"/>
    <n v="1129"/>
    <x v="45"/>
    <x v="41"/>
    <s v="F"/>
    <x v="0"/>
    <x v="0"/>
    <x v="0"/>
    <x v="6"/>
    <x v="3"/>
    <x v="6"/>
    <x v="2"/>
  </r>
  <r>
    <x v="1170"/>
    <x v="17"/>
    <x v="11"/>
    <n v="33.700000000000003"/>
    <n v="303.3"/>
    <x v="45"/>
    <x v="41"/>
    <s v="F"/>
    <x v="1"/>
    <x v="2"/>
    <x v="0"/>
    <x v="8"/>
    <x v="3"/>
    <x v="6"/>
    <x v="2"/>
  </r>
  <r>
    <x v="1171"/>
    <x v="15"/>
    <x v="7"/>
    <n v="35.299999999999997"/>
    <n v="353"/>
    <x v="45"/>
    <x v="43"/>
    <s v="M"/>
    <x v="2"/>
    <x v="0"/>
    <x v="0"/>
    <x v="8"/>
    <x v="1"/>
    <x v="6"/>
    <x v="1"/>
  </r>
  <r>
    <x v="1172"/>
    <x v="18"/>
    <x v="2"/>
    <n v="45.6"/>
    <n v="136.80000000000001"/>
    <x v="45"/>
    <x v="46"/>
    <s v="M"/>
    <x v="3"/>
    <x v="0"/>
    <x v="0"/>
    <x v="8"/>
    <x v="5"/>
    <x v="6"/>
    <x v="1"/>
  </r>
  <r>
    <x v="1173"/>
    <x v="7"/>
    <x v="3"/>
    <n v="47.1"/>
    <n v="329.7"/>
    <x v="45"/>
    <x v="41"/>
    <s v="F"/>
    <x v="4"/>
    <x v="2"/>
    <x v="0"/>
    <x v="9"/>
    <x v="3"/>
    <x v="6"/>
    <x v="2"/>
  </r>
  <r>
    <x v="1174"/>
    <x v="8"/>
    <x v="9"/>
    <n v="16.2"/>
    <n v="81"/>
    <x v="45"/>
    <x v="43"/>
    <s v="F"/>
    <x v="3"/>
    <x v="2"/>
    <x v="0"/>
    <x v="19"/>
    <x v="1"/>
    <x v="6"/>
    <x v="2"/>
  </r>
  <r>
    <x v="1175"/>
    <x v="1"/>
    <x v="1"/>
    <n v="159.69999999999999"/>
    <n v="319.39999999999998"/>
    <x v="46"/>
    <x v="43"/>
    <s v="M"/>
    <x v="4"/>
    <x v="0"/>
    <x v="0"/>
    <x v="13"/>
    <x v="3"/>
    <x v="7"/>
    <x v="1"/>
  </r>
  <r>
    <x v="1176"/>
    <x v="8"/>
    <x v="12"/>
    <n v="19"/>
    <n v="76"/>
    <x v="46"/>
    <x v="55"/>
    <s v="F"/>
    <x v="2"/>
    <x v="2"/>
    <x v="0"/>
    <x v="21"/>
    <x v="6"/>
    <x v="7"/>
    <x v="2"/>
  </r>
  <r>
    <x v="1177"/>
    <x v="6"/>
    <x v="13"/>
    <n v="91.1"/>
    <n v="546.59999999999991"/>
    <x v="46"/>
    <x v="51"/>
    <s v="F"/>
    <x v="4"/>
    <x v="0"/>
    <x v="0"/>
    <x v="21"/>
    <x v="8"/>
    <x v="7"/>
    <x v="2"/>
  </r>
  <r>
    <x v="1178"/>
    <x v="2"/>
    <x v="9"/>
    <n v="94.1"/>
    <n v="470.5"/>
    <x v="46"/>
    <x v="46"/>
    <s v=""/>
    <x v="1"/>
    <x v="1"/>
    <x v="0"/>
    <x v="21"/>
    <x v="2"/>
    <x v="7"/>
    <x v="0"/>
  </r>
  <r>
    <x v="1179"/>
    <x v="9"/>
    <x v="11"/>
    <n v="21.1"/>
    <n v="189.9"/>
    <x v="46"/>
    <x v="43"/>
    <s v="F"/>
    <x v="4"/>
    <x v="2"/>
    <x v="0"/>
    <x v="51"/>
    <x v="3"/>
    <x v="7"/>
    <x v="2"/>
  </r>
  <r>
    <x v="1180"/>
    <x v="8"/>
    <x v="3"/>
    <n v="15.3"/>
    <n v="107.10000000000001"/>
    <x v="46"/>
    <x v="54"/>
    <s v="F"/>
    <x v="2"/>
    <x v="0"/>
    <x v="0"/>
    <x v="1"/>
    <x v="9"/>
    <x v="7"/>
    <x v="2"/>
  </r>
  <r>
    <x v="1181"/>
    <x v="15"/>
    <x v="12"/>
    <n v="21.3"/>
    <n v="85.2"/>
    <x v="46"/>
    <x v="46"/>
    <s v="M"/>
    <x v="1"/>
    <x v="0"/>
    <x v="0"/>
    <x v="3"/>
    <x v="2"/>
    <x v="7"/>
    <x v="1"/>
  </r>
  <r>
    <x v="1182"/>
    <x v="0"/>
    <x v="1"/>
    <n v="23.2"/>
    <n v="46.4"/>
    <x v="46"/>
    <x v="41"/>
    <s v=""/>
    <x v="3"/>
    <x v="1"/>
    <x v="0"/>
    <x v="3"/>
    <x v="7"/>
    <x v="7"/>
    <x v="0"/>
  </r>
  <r>
    <x v="1183"/>
    <x v="4"/>
    <x v="2"/>
    <n v="25.7"/>
    <n v="77.099999999999994"/>
    <x v="46"/>
    <x v="43"/>
    <s v="M"/>
    <x v="4"/>
    <x v="0"/>
    <x v="0"/>
    <x v="3"/>
    <x v="3"/>
    <x v="7"/>
    <x v="1"/>
  </r>
  <r>
    <x v="1184"/>
    <x v="0"/>
    <x v="11"/>
    <n v="31.6"/>
    <n v="284.40000000000003"/>
    <x v="46"/>
    <x v="50"/>
    <s v="F"/>
    <x v="0"/>
    <x v="0"/>
    <x v="0"/>
    <x v="3"/>
    <x v="1"/>
    <x v="7"/>
    <x v="2"/>
  </r>
  <r>
    <x v="1185"/>
    <x v="6"/>
    <x v="0"/>
    <n v="64.2"/>
    <n v="64.2"/>
    <x v="46"/>
    <x v="47"/>
    <s v="M"/>
    <x v="0"/>
    <x v="0"/>
    <x v="0"/>
    <x v="3"/>
    <x v="0"/>
    <x v="7"/>
    <x v="1"/>
  </r>
  <r>
    <x v="1186"/>
    <x v="8"/>
    <x v="1"/>
    <n v="55.8"/>
    <n v="111.6"/>
    <x v="46"/>
    <x v="50"/>
    <s v=""/>
    <x v="0"/>
    <x v="0"/>
    <x v="0"/>
    <x v="3"/>
    <x v="1"/>
    <x v="7"/>
    <x v="0"/>
  </r>
  <r>
    <x v="1187"/>
    <x v="8"/>
    <x v="1"/>
    <n v="28.1"/>
    <n v="56.2"/>
    <x v="46"/>
    <x v="43"/>
    <s v="F"/>
    <x v="4"/>
    <x v="1"/>
    <x v="0"/>
    <x v="3"/>
    <x v="3"/>
    <x v="7"/>
    <x v="2"/>
  </r>
  <r>
    <x v="1188"/>
    <x v="0"/>
    <x v="1"/>
    <n v="11.6"/>
    <n v="23.2"/>
    <x v="46"/>
    <x v="50"/>
    <s v="F"/>
    <x v="1"/>
    <x v="0"/>
    <x v="0"/>
    <x v="24"/>
    <x v="1"/>
    <x v="7"/>
    <x v="2"/>
  </r>
  <r>
    <x v="1189"/>
    <x v="5"/>
    <x v="2"/>
    <n v="50.4"/>
    <n v="151.19999999999999"/>
    <x v="46"/>
    <x v="43"/>
    <s v="M"/>
    <x v="4"/>
    <x v="2"/>
    <x v="0"/>
    <x v="25"/>
    <x v="3"/>
    <x v="7"/>
    <x v="1"/>
  </r>
  <r>
    <x v="1190"/>
    <x v="6"/>
    <x v="13"/>
    <n v="48.3"/>
    <n v="289.79999999999995"/>
    <x v="46"/>
    <x v="49"/>
    <s v="F"/>
    <x v="0"/>
    <x v="0"/>
    <x v="0"/>
    <x v="25"/>
    <x v="5"/>
    <x v="7"/>
    <x v="2"/>
  </r>
  <r>
    <x v="1191"/>
    <x v="17"/>
    <x v="3"/>
    <n v="32.200000000000003"/>
    <n v="225.40000000000003"/>
    <x v="46"/>
    <x v="50"/>
    <s v="F"/>
    <x v="2"/>
    <x v="0"/>
    <x v="0"/>
    <x v="25"/>
    <x v="1"/>
    <x v="7"/>
    <x v="2"/>
  </r>
  <r>
    <x v="1192"/>
    <x v="7"/>
    <x v="31"/>
    <n v="48.5"/>
    <n v="1358"/>
    <x v="46"/>
    <x v="43"/>
    <s v="M"/>
    <x v="0"/>
    <x v="0"/>
    <x v="0"/>
    <x v="5"/>
    <x v="3"/>
    <x v="7"/>
    <x v="1"/>
  </r>
  <r>
    <x v="1193"/>
    <x v="2"/>
    <x v="9"/>
    <n v="62"/>
    <n v="310"/>
    <x v="46"/>
    <x v="46"/>
    <s v="F"/>
    <x v="1"/>
    <x v="0"/>
    <x v="0"/>
    <x v="6"/>
    <x v="2"/>
    <x v="7"/>
    <x v="2"/>
  </r>
  <r>
    <x v="1194"/>
    <x v="8"/>
    <x v="2"/>
    <n v="32.1"/>
    <n v="96.300000000000011"/>
    <x v="47"/>
    <x v="46"/>
    <s v="M"/>
    <x v="0"/>
    <x v="0"/>
    <x v="0"/>
    <x v="6"/>
    <x v="1"/>
    <x v="7"/>
    <x v="1"/>
  </r>
  <r>
    <x v="1195"/>
    <x v="12"/>
    <x v="2"/>
    <n v="106.1"/>
    <n v="318.29999999999995"/>
    <x v="47"/>
    <x v="46"/>
    <s v="M"/>
    <x v="0"/>
    <x v="1"/>
    <x v="0"/>
    <x v="7"/>
    <x v="1"/>
    <x v="7"/>
    <x v="1"/>
  </r>
  <r>
    <x v="1196"/>
    <x v="10"/>
    <x v="2"/>
    <n v="23.5"/>
    <n v="70.5"/>
    <x v="47"/>
    <x v="49"/>
    <s v="M"/>
    <x v="0"/>
    <x v="4"/>
    <x v="0"/>
    <x v="7"/>
    <x v="2"/>
    <x v="7"/>
    <x v="1"/>
  </r>
  <r>
    <x v="1197"/>
    <x v="1"/>
    <x v="1"/>
    <n v="35.6"/>
    <n v="71.2"/>
    <x v="47"/>
    <x v="56"/>
    <s v="M"/>
    <x v="4"/>
    <x v="0"/>
    <x v="0"/>
    <x v="8"/>
    <x v="0"/>
    <x v="7"/>
    <x v="1"/>
  </r>
  <r>
    <x v="1198"/>
    <x v="1"/>
    <x v="1"/>
    <n v="63.5"/>
    <n v="127"/>
    <x v="47"/>
    <x v="43"/>
    <s v="F"/>
    <x v="1"/>
    <x v="2"/>
    <x v="0"/>
    <x v="8"/>
    <x v="7"/>
    <x v="7"/>
    <x v="2"/>
  </r>
  <r>
    <x v="1199"/>
    <x v="6"/>
    <x v="3"/>
    <n v="82.9"/>
    <n v="580.30000000000007"/>
    <x v="47"/>
    <x v="56"/>
    <s v="F"/>
    <x v="4"/>
    <x v="0"/>
    <x v="0"/>
    <x v="9"/>
    <x v="0"/>
    <x v="7"/>
    <x v="2"/>
  </r>
  <r>
    <x v="1200"/>
    <x v="6"/>
    <x v="1"/>
    <n v="83.6"/>
    <n v="167.2"/>
    <x v="47"/>
    <x v="56"/>
    <s v="F"/>
    <x v="0"/>
    <x v="0"/>
    <x v="0"/>
    <x v="11"/>
    <x v="0"/>
    <x v="7"/>
    <x v="2"/>
  </r>
  <r>
    <x v="1201"/>
    <x v="4"/>
    <x v="1"/>
    <n v="29.4"/>
    <n v="58.8"/>
    <x v="47"/>
    <x v="43"/>
    <s v="F"/>
    <x v="0"/>
    <x v="1"/>
    <x v="0"/>
    <x v="30"/>
    <x v="7"/>
    <x v="7"/>
    <x v="2"/>
  </r>
  <r>
    <x v="1202"/>
    <x v="2"/>
    <x v="2"/>
    <n v="107.1"/>
    <n v="321.29999999999995"/>
    <x v="47"/>
    <x v="47"/>
    <s v="F"/>
    <x v="2"/>
    <x v="0"/>
    <x v="0"/>
    <x v="20"/>
    <x v="5"/>
    <x v="7"/>
    <x v="2"/>
  </r>
  <r>
    <x v="1203"/>
    <x v="2"/>
    <x v="0"/>
    <n v="62.7"/>
    <n v="62.7"/>
    <x v="47"/>
    <x v="47"/>
    <s v="M"/>
    <x v="1"/>
    <x v="0"/>
    <x v="0"/>
    <x v="21"/>
    <x v="5"/>
    <x v="7"/>
    <x v="1"/>
  </r>
  <r>
    <x v="1204"/>
    <x v="11"/>
    <x v="0"/>
    <n v="41.6"/>
    <n v="41.6"/>
    <x v="47"/>
    <x v="50"/>
    <s v="M"/>
    <x v="0"/>
    <x v="1"/>
    <x v="0"/>
    <x v="1"/>
    <x v="3"/>
    <x v="7"/>
    <x v="1"/>
  </r>
  <r>
    <x v="1205"/>
    <x v="6"/>
    <x v="0"/>
    <n v="44.2"/>
    <n v="44.2"/>
    <x v="47"/>
    <x v="50"/>
    <s v="O"/>
    <x v="0"/>
    <x v="1"/>
    <x v="0"/>
    <x v="1"/>
    <x v="3"/>
    <x v="7"/>
    <x v="3"/>
  </r>
  <r>
    <x v="1206"/>
    <x v="4"/>
    <x v="13"/>
    <n v="40.4"/>
    <n v="242.39999999999998"/>
    <x v="47"/>
    <x v="57"/>
    <s v="F"/>
    <x v="2"/>
    <x v="0"/>
    <x v="0"/>
    <x v="22"/>
    <x v="10"/>
    <x v="7"/>
    <x v="2"/>
  </r>
  <r>
    <x v="1207"/>
    <x v="15"/>
    <x v="13"/>
    <n v="59.6"/>
    <n v="357.6"/>
    <x v="47"/>
    <x v="50"/>
    <s v="F"/>
    <x v="4"/>
    <x v="0"/>
    <x v="0"/>
    <x v="34"/>
    <x v="3"/>
    <x v="7"/>
    <x v="2"/>
  </r>
  <r>
    <x v="1208"/>
    <x v="17"/>
    <x v="4"/>
    <n v="63.8"/>
    <n v="765.59999999999991"/>
    <x v="47"/>
    <x v="50"/>
    <s v="M"/>
    <x v="1"/>
    <x v="0"/>
    <x v="0"/>
    <x v="3"/>
    <x v="3"/>
    <x v="7"/>
    <x v="1"/>
  </r>
  <r>
    <x v="1209"/>
    <x v="9"/>
    <x v="13"/>
    <n v="30.8"/>
    <n v="184.8"/>
    <x v="47"/>
    <x v="46"/>
    <s v="M"/>
    <x v="4"/>
    <x v="0"/>
    <x v="0"/>
    <x v="3"/>
    <x v="1"/>
    <x v="7"/>
    <x v="1"/>
  </r>
  <r>
    <x v="1210"/>
    <x v="1"/>
    <x v="1"/>
    <n v="41.5"/>
    <n v="83"/>
    <x v="47"/>
    <x v="49"/>
    <s v="O"/>
    <x v="0"/>
    <x v="0"/>
    <x v="0"/>
    <x v="3"/>
    <x v="2"/>
    <x v="7"/>
    <x v="3"/>
  </r>
  <r>
    <x v="1211"/>
    <x v="10"/>
    <x v="12"/>
    <n v="44.7"/>
    <n v="178.8"/>
    <x v="47"/>
    <x v="46"/>
    <s v="F"/>
    <x v="2"/>
    <x v="1"/>
    <x v="0"/>
    <x v="3"/>
    <x v="1"/>
    <x v="7"/>
    <x v="2"/>
  </r>
  <r>
    <x v="1212"/>
    <x v="12"/>
    <x v="1"/>
    <n v="64.099999999999994"/>
    <n v="128.19999999999999"/>
    <x v="47"/>
    <x v="47"/>
    <s v="F"/>
    <x v="1"/>
    <x v="4"/>
    <x v="0"/>
    <x v="3"/>
    <x v="5"/>
    <x v="7"/>
    <x v="2"/>
  </r>
  <r>
    <x v="1213"/>
    <x v="8"/>
    <x v="0"/>
    <n v="15.9"/>
    <n v="15.9"/>
    <x v="47"/>
    <x v="49"/>
    <s v=""/>
    <x v="1"/>
    <x v="0"/>
    <x v="0"/>
    <x v="3"/>
    <x v="2"/>
    <x v="7"/>
    <x v="0"/>
  </r>
  <r>
    <x v="1214"/>
    <x v="6"/>
    <x v="1"/>
    <n v="78.7"/>
    <n v="157.4"/>
    <x v="47"/>
    <x v="43"/>
    <s v="F"/>
    <x v="2"/>
    <x v="1"/>
    <x v="0"/>
    <x v="3"/>
    <x v="7"/>
    <x v="7"/>
    <x v="2"/>
  </r>
  <r>
    <x v="1215"/>
    <x v="5"/>
    <x v="4"/>
    <n v="29.6"/>
    <n v="355.20000000000005"/>
    <x v="47"/>
    <x v="47"/>
    <s v="M"/>
    <x v="2"/>
    <x v="4"/>
    <x v="0"/>
    <x v="3"/>
    <x v="5"/>
    <x v="7"/>
    <x v="1"/>
  </r>
  <r>
    <x v="1216"/>
    <x v="8"/>
    <x v="12"/>
    <n v="21.5"/>
    <n v="86"/>
    <x v="47"/>
    <x v="49"/>
    <s v="M"/>
    <x v="1"/>
    <x v="0"/>
    <x v="0"/>
    <x v="3"/>
    <x v="2"/>
    <x v="7"/>
    <x v="1"/>
  </r>
  <r>
    <x v="1217"/>
    <x v="9"/>
    <x v="2"/>
    <n v="74.900000000000006"/>
    <n v="224.70000000000002"/>
    <x v="47"/>
    <x v="52"/>
    <s v="M"/>
    <x v="3"/>
    <x v="1"/>
    <x v="0"/>
    <x v="3"/>
    <x v="8"/>
    <x v="7"/>
    <x v="1"/>
  </r>
  <r>
    <x v="1218"/>
    <x v="10"/>
    <x v="13"/>
    <n v="45"/>
    <n v="270"/>
    <x v="47"/>
    <x v="56"/>
    <s v="F"/>
    <x v="2"/>
    <x v="0"/>
    <x v="0"/>
    <x v="3"/>
    <x v="0"/>
    <x v="7"/>
    <x v="2"/>
  </r>
  <r>
    <x v="1219"/>
    <x v="7"/>
    <x v="33"/>
    <n v="37.9"/>
    <n v="1288.5999999999999"/>
    <x v="47"/>
    <x v="50"/>
    <s v="M"/>
    <x v="0"/>
    <x v="0"/>
    <x v="0"/>
    <x v="3"/>
    <x v="3"/>
    <x v="7"/>
    <x v="1"/>
  </r>
  <r>
    <x v="1220"/>
    <x v="6"/>
    <x v="2"/>
    <n v="56.6"/>
    <n v="169.8"/>
    <x v="47"/>
    <x v="50"/>
    <s v="M"/>
    <x v="3"/>
    <x v="0"/>
    <x v="0"/>
    <x v="3"/>
    <x v="3"/>
    <x v="7"/>
    <x v="1"/>
  </r>
  <r>
    <x v="1221"/>
    <x v="3"/>
    <x v="15"/>
    <n v="84.5"/>
    <n v="1098.5"/>
    <x v="47"/>
    <x v="49"/>
    <s v="F"/>
    <x v="1"/>
    <x v="4"/>
    <x v="0"/>
    <x v="3"/>
    <x v="2"/>
    <x v="7"/>
    <x v="2"/>
  </r>
  <r>
    <x v="1222"/>
    <x v="2"/>
    <x v="9"/>
    <n v="105.4"/>
    <n v="527"/>
    <x v="47"/>
    <x v="46"/>
    <s v="F"/>
    <x v="1"/>
    <x v="1"/>
    <x v="0"/>
    <x v="3"/>
    <x v="1"/>
    <x v="7"/>
    <x v="2"/>
  </r>
  <r>
    <x v="1223"/>
    <x v="18"/>
    <x v="3"/>
    <n v="39.4"/>
    <n v="275.8"/>
    <x v="48"/>
    <x v="50"/>
    <s v="M"/>
    <x v="1"/>
    <x v="0"/>
    <x v="0"/>
    <x v="37"/>
    <x v="7"/>
    <x v="7"/>
    <x v="1"/>
  </r>
  <r>
    <x v="1224"/>
    <x v="19"/>
    <x v="2"/>
    <n v="38"/>
    <n v="114"/>
    <x v="48"/>
    <x v="47"/>
    <s v="M"/>
    <x v="4"/>
    <x v="1"/>
    <x v="0"/>
    <x v="6"/>
    <x v="2"/>
    <x v="7"/>
    <x v="1"/>
  </r>
  <r>
    <x v="1225"/>
    <x v="17"/>
    <x v="12"/>
    <n v="42.5"/>
    <n v="170"/>
    <x v="48"/>
    <x v="49"/>
    <s v=""/>
    <x v="0"/>
    <x v="0"/>
    <x v="0"/>
    <x v="6"/>
    <x v="1"/>
    <x v="7"/>
    <x v="0"/>
  </r>
  <r>
    <x v="1226"/>
    <x v="15"/>
    <x v="0"/>
    <n v="62.3"/>
    <n v="62.3"/>
    <x v="48"/>
    <x v="53"/>
    <s v="M"/>
    <x v="0"/>
    <x v="2"/>
    <x v="0"/>
    <x v="6"/>
    <x v="8"/>
    <x v="7"/>
    <x v="1"/>
  </r>
  <r>
    <x v="1227"/>
    <x v="6"/>
    <x v="9"/>
    <n v="49.1"/>
    <n v="245.5"/>
    <x v="48"/>
    <x v="49"/>
    <s v="F"/>
    <x v="1"/>
    <x v="2"/>
    <x v="0"/>
    <x v="7"/>
    <x v="1"/>
    <x v="7"/>
    <x v="2"/>
  </r>
  <r>
    <x v="1228"/>
    <x v="3"/>
    <x v="1"/>
    <n v="30.5"/>
    <n v="61"/>
    <x v="48"/>
    <x v="47"/>
    <s v="M"/>
    <x v="0"/>
    <x v="2"/>
    <x v="0"/>
    <x v="8"/>
    <x v="2"/>
    <x v="7"/>
    <x v="1"/>
  </r>
  <r>
    <x v="1229"/>
    <x v="2"/>
    <x v="1"/>
    <n v="154.80000000000001"/>
    <n v="309.60000000000002"/>
    <x v="48"/>
    <x v="47"/>
    <s v="F"/>
    <x v="1"/>
    <x v="4"/>
    <x v="0"/>
    <x v="8"/>
    <x v="2"/>
    <x v="7"/>
    <x v="2"/>
  </r>
  <r>
    <x v="1230"/>
    <x v="6"/>
    <x v="0"/>
    <n v="45"/>
    <n v="45"/>
    <x v="48"/>
    <x v="56"/>
    <s v="M"/>
    <x v="3"/>
    <x v="1"/>
    <x v="0"/>
    <x v="8"/>
    <x v="5"/>
    <x v="7"/>
    <x v="1"/>
  </r>
  <r>
    <x v="1231"/>
    <x v="0"/>
    <x v="3"/>
    <n v="15.3"/>
    <n v="107.10000000000001"/>
    <x v="48"/>
    <x v="46"/>
    <s v="M"/>
    <x v="0"/>
    <x v="2"/>
    <x v="0"/>
    <x v="8"/>
    <x v="3"/>
    <x v="7"/>
    <x v="1"/>
  </r>
  <r>
    <x v="1232"/>
    <x v="2"/>
    <x v="5"/>
    <n v="88.6"/>
    <n v="974.59999999999991"/>
    <x v="48"/>
    <x v="47"/>
    <s v="F"/>
    <x v="0"/>
    <x v="4"/>
    <x v="0"/>
    <x v="17"/>
    <x v="2"/>
    <x v="7"/>
    <x v="2"/>
  </r>
  <r>
    <x v="1233"/>
    <x v="9"/>
    <x v="1"/>
    <n v="49.7"/>
    <n v="99.4"/>
    <x v="48"/>
    <x v="49"/>
    <s v="O"/>
    <x v="4"/>
    <x v="0"/>
    <x v="0"/>
    <x v="10"/>
    <x v="1"/>
    <x v="7"/>
    <x v="3"/>
  </r>
  <r>
    <x v="1234"/>
    <x v="10"/>
    <x v="0"/>
    <n v="29"/>
    <n v="29"/>
    <x v="48"/>
    <x v="46"/>
    <s v="M"/>
    <x v="0"/>
    <x v="0"/>
    <x v="0"/>
    <x v="11"/>
    <x v="3"/>
    <x v="7"/>
    <x v="1"/>
  </r>
  <r>
    <x v="1235"/>
    <x v="1"/>
    <x v="0"/>
    <n v="60.7"/>
    <n v="60.7"/>
    <x v="48"/>
    <x v="46"/>
    <s v="O"/>
    <x v="0"/>
    <x v="1"/>
    <x v="0"/>
    <x v="11"/>
    <x v="3"/>
    <x v="7"/>
    <x v="3"/>
  </r>
  <r>
    <x v="1236"/>
    <x v="17"/>
    <x v="12"/>
    <n v="87.4"/>
    <n v="349.6"/>
    <x v="48"/>
    <x v="49"/>
    <s v=""/>
    <x v="0"/>
    <x v="0"/>
    <x v="0"/>
    <x v="11"/>
    <x v="1"/>
    <x v="7"/>
    <x v="0"/>
  </r>
  <r>
    <x v="1237"/>
    <x v="4"/>
    <x v="3"/>
    <n v="44.5"/>
    <n v="311.5"/>
    <x v="48"/>
    <x v="56"/>
    <s v="F"/>
    <x v="2"/>
    <x v="2"/>
    <x v="0"/>
    <x v="19"/>
    <x v="5"/>
    <x v="7"/>
    <x v="2"/>
  </r>
  <r>
    <x v="1238"/>
    <x v="2"/>
    <x v="0"/>
    <n v="141"/>
    <n v="141"/>
    <x v="48"/>
    <x v="46"/>
    <s v="M"/>
    <x v="4"/>
    <x v="2"/>
    <x v="0"/>
    <x v="19"/>
    <x v="3"/>
    <x v="7"/>
    <x v="1"/>
  </r>
  <r>
    <x v="1239"/>
    <x v="0"/>
    <x v="2"/>
    <n v="16.7"/>
    <n v="50.099999999999994"/>
    <x v="48"/>
    <x v="52"/>
    <s v="F"/>
    <x v="0"/>
    <x v="0"/>
    <x v="0"/>
    <x v="20"/>
    <x v="9"/>
    <x v="7"/>
    <x v="2"/>
  </r>
  <r>
    <x v="1240"/>
    <x v="1"/>
    <x v="1"/>
    <n v="77.5"/>
    <n v="155"/>
    <x v="48"/>
    <x v="46"/>
    <s v=""/>
    <x v="2"/>
    <x v="2"/>
    <x v="0"/>
    <x v="13"/>
    <x v="3"/>
    <x v="7"/>
    <x v="0"/>
  </r>
  <r>
    <x v="1241"/>
    <x v="2"/>
    <x v="1"/>
    <n v="163"/>
    <n v="326"/>
    <x v="48"/>
    <x v="54"/>
    <s v="F"/>
    <x v="4"/>
    <x v="0"/>
    <x v="0"/>
    <x v="21"/>
    <x v="4"/>
    <x v="7"/>
    <x v="2"/>
  </r>
  <r>
    <x v="1242"/>
    <x v="4"/>
    <x v="11"/>
    <n v="21.4"/>
    <n v="192.6"/>
    <x v="48"/>
    <x v="47"/>
    <s v="F"/>
    <x v="0"/>
    <x v="0"/>
    <x v="0"/>
    <x v="51"/>
    <x v="2"/>
    <x v="7"/>
    <x v="2"/>
  </r>
  <r>
    <x v="1243"/>
    <x v="10"/>
    <x v="5"/>
    <n v="31"/>
    <n v="341"/>
    <x v="48"/>
    <x v="49"/>
    <s v="F"/>
    <x v="3"/>
    <x v="2"/>
    <x v="0"/>
    <x v="1"/>
    <x v="1"/>
    <x v="7"/>
    <x v="2"/>
  </r>
  <r>
    <x v="1244"/>
    <x v="7"/>
    <x v="1"/>
    <n v="34.299999999999997"/>
    <n v="68.599999999999994"/>
    <x v="48"/>
    <x v="49"/>
    <s v="F"/>
    <x v="0"/>
    <x v="3"/>
    <x v="0"/>
    <x v="1"/>
    <x v="1"/>
    <x v="7"/>
    <x v="2"/>
  </r>
  <r>
    <x v="1245"/>
    <x v="17"/>
    <x v="9"/>
    <n v="48.2"/>
    <n v="241"/>
    <x v="48"/>
    <x v="46"/>
    <s v="M"/>
    <x v="1"/>
    <x v="1"/>
    <x v="0"/>
    <x v="2"/>
    <x v="3"/>
    <x v="7"/>
    <x v="1"/>
  </r>
  <r>
    <x v="1246"/>
    <x v="10"/>
    <x v="0"/>
    <n v="51.4"/>
    <n v="51.4"/>
    <x v="48"/>
    <x v="46"/>
    <s v="M"/>
    <x v="0"/>
    <x v="0"/>
    <x v="0"/>
    <x v="3"/>
    <x v="3"/>
    <x v="7"/>
    <x v="1"/>
  </r>
  <r>
    <x v="1247"/>
    <x v="2"/>
    <x v="9"/>
    <n v="117.2"/>
    <n v="586"/>
    <x v="48"/>
    <x v="47"/>
    <s v="F"/>
    <x v="4"/>
    <x v="4"/>
    <x v="0"/>
    <x v="3"/>
    <x v="2"/>
    <x v="7"/>
    <x v="2"/>
  </r>
  <r>
    <x v="1248"/>
    <x v="8"/>
    <x v="0"/>
    <n v="38.1"/>
    <n v="38.1"/>
    <x v="48"/>
    <x v="50"/>
    <s v="M"/>
    <x v="4"/>
    <x v="1"/>
    <x v="0"/>
    <x v="3"/>
    <x v="7"/>
    <x v="7"/>
    <x v="1"/>
  </r>
  <r>
    <x v="1249"/>
    <x v="0"/>
    <x v="1"/>
    <n v="44.1"/>
    <n v="88.2"/>
    <x v="48"/>
    <x v="49"/>
    <s v="F"/>
    <x v="2"/>
    <x v="0"/>
    <x v="0"/>
    <x v="3"/>
    <x v="1"/>
    <x v="7"/>
    <x v="2"/>
  </r>
  <r>
    <x v="1250"/>
    <x v="15"/>
    <x v="12"/>
    <n v="80.5"/>
    <n v="322"/>
    <x v="48"/>
    <x v="55"/>
    <s v="M"/>
    <x v="0"/>
    <x v="0"/>
    <x v="0"/>
    <x v="3"/>
    <x v="0"/>
    <x v="7"/>
    <x v="1"/>
  </r>
  <r>
    <x v="1251"/>
    <x v="18"/>
    <x v="12"/>
    <n v="33.6"/>
    <n v="134.4"/>
    <x v="48"/>
    <x v="55"/>
    <s v=""/>
    <x v="0"/>
    <x v="2"/>
    <x v="0"/>
    <x v="3"/>
    <x v="0"/>
    <x v="7"/>
    <x v="0"/>
  </r>
  <r>
    <x v="1252"/>
    <x v="9"/>
    <x v="11"/>
    <n v="41.8"/>
    <n v="376.2"/>
    <x v="48"/>
    <x v="46"/>
    <s v="F"/>
    <x v="0"/>
    <x v="1"/>
    <x v="0"/>
    <x v="3"/>
    <x v="3"/>
    <x v="7"/>
    <x v="2"/>
  </r>
  <r>
    <x v="1253"/>
    <x v="1"/>
    <x v="1"/>
    <n v="106.2"/>
    <n v="212.4"/>
    <x v="48"/>
    <x v="50"/>
    <s v="F"/>
    <x v="4"/>
    <x v="2"/>
    <x v="0"/>
    <x v="3"/>
    <x v="7"/>
    <x v="7"/>
    <x v="2"/>
  </r>
  <r>
    <x v="1254"/>
    <x v="1"/>
    <x v="1"/>
    <n v="52.6"/>
    <n v="105.2"/>
    <x v="48"/>
    <x v="46"/>
    <s v="F"/>
    <x v="0"/>
    <x v="2"/>
    <x v="0"/>
    <x v="5"/>
    <x v="3"/>
    <x v="7"/>
    <x v="2"/>
  </r>
  <r>
    <x v="1255"/>
    <x v="11"/>
    <x v="3"/>
    <n v="68.5"/>
    <n v="479.5"/>
    <x v="48"/>
    <x v="46"/>
    <s v="F"/>
    <x v="1"/>
    <x v="0"/>
    <x v="0"/>
    <x v="5"/>
    <x v="3"/>
    <x v="7"/>
    <x v="2"/>
  </r>
  <r>
    <x v="1256"/>
    <x v="1"/>
    <x v="1"/>
    <n v="55.6"/>
    <n v="111.2"/>
    <x v="48"/>
    <x v="49"/>
    <s v="M"/>
    <x v="1"/>
    <x v="2"/>
    <x v="0"/>
    <x v="6"/>
    <x v="1"/>
    <x v="7"/>
    <x v="1"/>
  </r>
  <r>
    <x v="1257"/>
    <x v="2"/>
    <x v="2"/>
    <n v="134.9"/>
    <n v="404.70000000000005"/>
    <x v="48"/>
    <x v="46"/>
    <s v="M"/>
    <x v="1"/>
    <x v="1"/>
    <x v="0"/>
    <x v="6"/>
    <x v="3"/>
    <x v="7"/>
    <x v="1"/>
  </r>
  <r>
    <x v="1258"/>
    <x v="10"/>
    <x v="9"/>
    <n v="42.6"/>
    <n v="213"/>
    <x v="48"/>
    <x v="46"/>
    <s v="M"/>
    <x v="0"/>
    <x v="0"/>
    <x v="0"/>
    <x v="6"/>
    <x v="3"/>
    <x v="7"/>
    <x v="1"/>
  </r>
  <r>
    <x v="1259"/>
    <x v="7"/>
    <x v="9"/>
    <n v="60.6"/>
    <n v="303"/>
    <x v="48"/>
    <x v="49"/>
    <s v="M"/>
    <x v="4"/>
    <x v="0"/>
    <x v="0"/>
    <x v="6"/>
    <x v="1"/>
    <x v="7"/>
    <x v="1"/>
  </r>
  <r>
    <x v="1260"/>
    <x v="8"/>
    <x v="1"/>
    <n v="43.5"/>
    <n v="87"/>
    <x v="48"/>
    <x v="46"/>
    <s v="M"/>
    <x v="4"/>
    <x v="0"/>
    <x v="0"/>
    <x v="7"/>
    <x v="3"/>
    <x v="7"/>
    <x v="1"/>
  </r>
  <r>
    <x v="1261"/>
    <x v="2"/>
    <x v="1"/>
    <n v="187.1"/>
    <n v="374.2"/>
    <x v="48"/>
    <x v="46"/>
    <s v="M"/>
    <x v="1"/>
    <x v="2"/>
    <x v="0"/>
    <x v="8"/>
    <x v="3"/>
    <x v="7"/>
    <x v="1"/>
  </r>
  <r>
    <x v="1262"/>
    <x v="9"/>
    <x v="2"/>
    <n v="32"/>
    <n v="96"/>
    <x v="48"/>
    <x v="49"/>
    <s v="M"/>
    <x v="0"/>
    <x v="0"/>
    <x v="0"/>
    <x v="8"/>
    <x v="1"/>
    <x v="7"/>
    <x v="1"/>
  </r>
  <r>
    <x v="1263"/>
    <x v="9"/>
    <x v="1"/>
    <n v="110.8"/>
    <n v="221.6"/>
    <x v="48"/>
    <x v="50"/>
    <s v="M"/>
    <x v="0"/>
    <x v="2"/>
    <x v="0"/>
    <x v="8"/>
    <x v="7"/>
    <x v="7"/>
    <x v="1"/>
  </r>
  <r>
    <x v="1264"/>
    <x v="10"/>
    <x v="15"/>
    <n v="36.1"/>
    <n v="469.3"/>
    <x v="48"/>
    <x v="47"/>
    <s v="F"/>
    <x v="0"/>
    <x v="1"/>
    <x v="0"/>
    <x v="8"/>
    <x v="2"/>
    <x v="7"/>
    <x v="2"/>
  </r>
  <r>
    <x v="1265"/>
    <x v="0"/>
    <x v="0"/>
    <n v="24.1"/>
    <n v="24.1"/>
    <x v="48"/>
    <x v="49"/>
    <s v="F"/>
    <x v="4"/>
    <x v="2"/>
    <x v="0"/>
    <x v="8"/>
    <x v="1"/>
    <x v="7"/>
    <x v="2"/>
  </r>
  <r>
    <x v="1266"/>
    <x v="19"/>
    <x v="2"/>
    <n v="30.5"/>
    <n v="91.5"/>
    <x v="48"/>
    <x v="49"/>
    <s v="M"/>
    <x v="1"/>
    <x v="0"/>
    <x v="0"/>
    <x v="8"/>
    <x v="1"/>
    <x v="7"/>
    <x v="1"/>
  </r>
  <r>
    <x v="1267"/>
    <x v="18"/>
    <x v="13"/>
    <n v="68.3"/>
    <n v="409.79999999999995"/>
    <x v="48"/>
    <x v="47"/>
    <s v="M"/>
    <x v="0"/>
    <x v="0"/>
    <x v="0"/>
    <x v="8"/>
    <x v="2"/>
    <x v="7"/>
    <x v="1"/>
  </r>
  <r>
    <x v="1268"/>
    <x v="7"/>
    <x v="2"/>
    <n v="43.3"/>
    <n v="129.89999999999998"/>
    <x v="48"/>
    <x v="56"/>
    <s v="F"/>
    <x v="0"/>
    <x v="0"/>
    <x v="0"/>
    <x v="17"/>
    <x v="5"/>
    <x v="7"/>
    <x v="2"/>
  </r>
  <r>
    <x v="1269"/>
    <x v="3"/>
    <x v="0"/>
    <n v="101.7"/>
    <n v="101.7"/>
    <x v="48"/>
    <x v="47"/>
    <s v="F"/>
    <x v="0"/>
    <x v="1"/>
    <x v="0"/>
    <x v="17"/>
    <x v="2"/>
    <x v="7"/>
    <x v="2"/>
  </r>
  <r>
    <x v="1270"/>
    <x v="11"/>
    <x v="1"/>
    <n v="54.2"/>
    <n v="108.4"/>
    <x v="48"/>
    <x v="46"/>
    <s v="F"/>
    <x v="0"/>
    <x v="1"/>
    <x v="0"/>
    <x v="17"/>
    <x v="3"/>
    <x v="7"/>
    <x v="2"/>
  </r>
  <r>
    <x v="1271"/>
    <x v="16"/>
    <x v="1"/>
    <n v="51"/>
    <n v="102"/>
    <x v="48"/>
    <x v="50"/>
    <s v="M"/>
    <x v="1"/>
    <x v="0"/>
    <x v="0"/>
    <x v="26"/>
    <x v="7"/>
    <x v="7"/>
    <x v="1"/>
  </r>
  <r>
    <x v="1272"/>
    <x v="4"/>
    <x v="1"/>
    <n v="23.1"/>
    <n v="46.2"/>
    <x v="48"/>
    <x v="47"/>
    <s v="M"/>
    <x v="1"/>
    <x v="0"/>
    <x v="0"/>
    <x v="10"/>
    <x v="2"/>
    <x v="7"/>
    <x v="1"/>
  </r>
  <r>
    <x v="1273"/>
    <x v="12"/>
    <x v="13"/>
    <n v="60.1"/>
    <n v="360.6"/>
    <x v="48"/>
    <x v="50"/>
    <s v="F"/>
    <x v="3"/>
    <x v="0"/>
    <x v="0"/>
    <x v="11"/>
    <x v="7"/>
    <x v="7"/>
    <x v="2"/>
  </r>
  <r>
    <x v="1274"/>
    <x v="2"/>
    <x v="3"/>
    <n v="87.5"/>
    <n v="612.5"/>
    <x v="48"/>
    <x v="49"/>
    <s v="F"/>
    <x v="0"/>
    <x v="1"/>
    <x v="0"/>
    <x v="11"/>
    <x v="1"/>
    <x v="7"/>
    <x v="2"/>
  </r>
  <r>
    <x v="1275"/>
    <x v="1"/>
    <x v="2"/>
    <n v="51"/>
    <n v="153"/>
    <x v="48"/>
    <x v="46"/>
    <s v="F"/>
    <x v="1"/>
    <x v="0"/>
    <x v="0"/>
    <x v="11"/>
    <x v="3"/>
    <x v="7"/>
    <x v="2"/>
  </r>
  <r>
    <x v="1276"/>
    <x v="8"/>
    <x v="12"/>
    <n v="19.2"/>
    <n v="76.8"/>
    <x v="48"/>
    <x v="49"/>
    <s v="F"/>
    <x v="0"/>
    <x v="0"/>
    <x v="0"/>
    <x v="11"/>
    <x v="1"/>
    <x v="7"/>
    <x v="2"/>
  </r>
  <r>
    <x v="1277"/>
    <x v="5"/>
    <x v="8"/>
    <n v="26.5"/>
    <n v="212"/>
    <x v="48"/>
    <x v="46"/>
    <s v=""/>
    <x v="3"/>
    <x v="2"/>
    <x v="0"/>
    <x v="11"/>
    <x v="3"/>
    <x v="7"/>
    <x v="0"/>
  </r>
  <r>
    <x v="1278"/>
    <x v="2"/>
    <x v="1"/>
    <n v="220.3"/>
    <n v="440.6"/>
    <x v="48"/>
    <x v="46"/>
    <s v="F"/>
    <x v="1"/>
    <x v="4"/>
    <x v="0"/>
    <x v="53"/>
    <x v="3"/>
    <x v="7"/>
    <x v="2"/>
  </r>
  <r>
    <x v="1279"/>
    <x v="8"/>
    <x v="2"/>
    <n v="45.7"/>
    <n v="137.10000000000002"/>
    <x v="48"/>
    <x v="46"/>
    <s v="F"/>
    <x v="4"/>
    <x v="0"/>
    <x v="0"/>
    <x v="30"/>
    <x v="3"/>
    <x v="7"/>
    <x v="2"/>
  </r>
  <r>
    <x v="1280"/>
    <x v="5"/>
    <x v="9"/>
    <n v="47.1"/>
    <n v="235.5"/>
    <x v="48"/>
    <x v="56"/>
    <s v="F"/>
    <x v="3"/>
    <x v="0"/>
    <x v="0"/>
    <x v="13"/>
    <x v="5"/>
    <x v="7"/>
    <x v="2"/>
  </r>
  <r>
    <x v="1281"/>
    <x v="1"/>
    <x v="9"/>
    <n v="81.7"/>
    <n v="408.5"/>
    <x v="48"/>
    <x v="46"/>
    <s v="F"/>
    <x v="0"/>
    <x v="2"/>
    <x v="0"/>
    <x v="21"/>
    <x v="3"/>
    <x v="7"/>
    <x v="2"/>
  </r>
  <r>
    <x v="1282"/>
    <x v="6"/>
    <x v="7"/>
    <n v="97.8"/>
    <n v="978"/>
    <x v="48"/>
    <x v="50"/>
    <s v="M"/>
    <x v="1"/>
    <x v="1"/>
    <x v="0"/>
    <x v="21"/>
    <x v="7"/>
    <x v="7"/>
    <x v="1"/>
  </r>
  <r>
    <x v="1283"/>
    <x v="6"/>
    <x v="2"/>
    <n v="42.4"/>
    <n v="127.19999999999999"/>
    <x v="48"/>
    <x v="46"/>
    <s v="F"/>
    <x v="0"/>
    <x v="2"/>
    <x v="0"/>
    <x v="54"/>
    <x v="3"/>
    <x v="7"/>
    <x v="2"/>
  </r>
  <r>
    <x v="1284"/>
    <x v="2"/>
    <x v="7"/>
    <n v="74.5"/>
    <n v="745"/>
    <x v="48"/>
    <x v="46"/>
    <s v="M"/>
    <x v="2"/>
    <x v="1"/>
    <x v="0"/>
    <x v="1"/>
    <x v="3"/>
    <x v="7"/>
    <x v="1"/>
  </r>
  <r>
    <x v="1285"/>
    <x v="17"/>
    <x v="13"/>
    <n v="47.4"/>
    <n v="284.39999999999998"/>
    <x v="48"/>
    <x v="46"/>
    <s v="M"/>
    <x v="1"/>
    <x v="0"/>
    <x v="0"/>
    <x v="1"/>
    <x v="3"/>
    <x v="7"/>
    <x v="1"/>
  </r>
  <r>
    <x v="1286"/>
    <x v="14"/>
    <x v="2"/>
    <n v="17.3"/>
    <n v="51.900000000000006"/>
    <x v="49"/>
    <x v="56"/>
    <s v="M"/>
    <x v="2"/>
    <x v="2"/>
    <x v="0"/>
    <x v="1"/>
    <x v="2"/>
    <x v="7"/>
    <x v="1"/>
  </r>
  <r>
    <x v="1287"/>
    <x v="12"/>
    <x v="12"/>
    <n v="77.900000000000006"/>
    <n v="311.60000000000002"/>
    <x v="49"/>
    <x v="49"/>
    <s v="M"/>
    <x v="1"/>
    <x v="0"/>
    <x v="0"/>
    <x v="2"/>
    <x v="3"/>
    <x v="7"/>
    <x v="1"/>
  </r>
  <r>
    <x v="1288"/>
    <x v="8"/>
    <x v="0"/>
    <n v="29.1"/>
    <n v="29.1"/>
    <x v="49"/>
    <x v="56"/>
    <s v="M"/>
    <x v="0"/>
    <x v="2"/>
    <x v="0"/>
    <x v="50"/>
    <x v="2"/>
    <x v="7"/>
    <x v="1"/>
  </r>
  <r>
    <x v="1289"/>
    <x v="8"/>
    <x v="0"/>
    <n v="49"/>
    <n v="49"/>
    <x v="49"/>
    <x v="49"/>
    <s v="M"/>
    <x v="1"/>
    <x v="0"/>
    <x v="0"/>
    <x v="3"/>
    <x v="3"/>
    <x v="7"/>
    <x v="1"/>
  </r>
  <r>
    <x v="1290"/>
    <x v="8"/>
    <x v="13"/>
    <n v="21.1"/>
    <n v="126.60000000000001"/>
    <x v="49"/>
    <x v="52"/>
    <s v="M"/>
    <x v="0"/>
    <x v="2"/>
    <x v="0"/>
    <x v="3"/>
    <x v="6"/>
    <x v="7"/>
    <x v="1"/>
  </r>
  <r>
    <x v="1291"/>
    <x v="4"/>
    <x v="10"/>
    <n v="36.9"/>
    <n v="701.1"/>
    <x v="49"/>
    <x v="46"/>
    <s v="F"/>
    <x v="0"/>
    <x v="0"/>
    <x v="0"/>
    <x v="3"/>
    <x v="7"/>
    <x v="7"/>
    <x v="2"/>
  </r>
  <r>
    <x v="1292"/>
    <x v="1"/>
    <x v="7"/>
    <n v="92.6"/>
    <n v="926"/>
    <x v="49"/>
    <x v="54"/>
    <s v="M"/>
    <x v="4"/>
    <x v="2"/>
    <x v="0"/>
    <x v="3"/>
    <x v="0"/>
    <x v="7"/>
    <x v="1"/>
  </r>
  <r>
    <x v="1293"/>
    <x v="10"/>
    <x v="1"/>
    <n v="38"/>
    <n v="76"/>
    <x v="49"/>
    <x v="49"/>
    <s v="M"/>
    <x v="1"/>
    <x v="1"/>
    <x v="0"/>
    <x v="3"/>
    <x v="3"/>
    <x v="7"/>
    <x v="1"/>
  </r>
  <r>
    <x v="1294"/>
    <x v="5"/>
    <x v="2"/>
    <n v="54.8"/>
    <n v="164.39999999999998"/>
    <x v="49"/>
    <x v="55"/>
    <s v=""/>
    <x v="0"/>
    <x v="1"/>
    <x v="0"/>
    <x v="3"/>
    <x v="5"/>
    <x v="7"/>
    <x v="0"/>
  </r>
  <r>
    <x v="1295"/>
    <x v="10"/>
    <x v="4"/>
    <n v="56.8"/>
    <n v="681.59999999999991"/>
    <x v="49"/>
    <x v="47"/>
    <s v="M"/>
    <x v="1"/>
    <x v="0"/>
    <x v="0"/>
    <x v="3"/>
    <x v="1"/>
    <x v="7"/>
    <x v="1"/>
  </r>
  <r>
    <x v="1296"/>
    <x v="11"/>
    <x v="40"/>
    <n v="47.2"/>
    <n v="1557.6000000000001"/>
    <x v="49"/>
    <x v="56"/>
    <s v="F"/>
    <x v="1"/>
    <x v="0"/>
    <x v="0"/>
    <x v="3"/>
    <x v="2"/>
    <x v="7"/>
    <x v="2"/>
  </r>
  <r>
    <x v="1297"/>
    <x v="7"/>
    <x v="13"/>
    <n v="45.1"/>
    <n v="270.60000000000002"/>
    <x v="49"/>
    <x v="49"/>
    <s v="F"/>
    <x v="2"/>
    <x v="0"/>
    <x v="0"/>
    <x v="43"/>
    <x v="3"/>
    <x v="7"/>
    <x v="2"/>
  </r>
  <r>
    <x v="1298"/>
    <x v="4"/>
    <x v="4"/>
    <n v="25.2"/>
    <n v="302.39999999999998"/>
    <x v="49"/>
    <x v="54"/>
    <s v="F"/>
    <x v="2"/>
    <x v="0"/>
    <x v="0"/>
    <x v="16"/>
    <x v="0"/>
    <x v="7"/>
    <x v="2"/>
  </r>
  <r>
    <x v="1299"/>
    <x v="8"/>
    <x v="0"/>
    <n v="22"/>
    <n v="22"/>
    <x v="49"/>
    <x v="49"/>
    <s v="F"/>
    <x v="0"/>
    <x v="0"/>
    <x v="0"/>
    <x v="5"/>
    <x v="3"/>
    <x v="7"/>
    <x v="2"/>
  </r>
  <r>
    <x v="1300"/>
    <x v="6"/>
    <x v="1"/>
    <n v="42.2"/>
    <n v="84.4"/>
    <x v="49"/>
    <x v="49"/>
    <s v="F"/>
    <x v="1"/>
    <x v="1"/>
    <x v="0"/>
    <x v="23"/>
    <x v="3"/>
    <x v="7"/>
    <x v="2"/>
  </r>
  <r>
    <x v="1301"/>
    <x v="13"/>
    <x v="2"/>
    <n v="20.5"/>
    <n v="61.5"/>
    <x v="49"/>
    <x v="49"/>
    <s v="M"/>
    <x v="0"/>
    <x v="1"/>
    <x v="0"/>
    <x v="6"/>
    <x v="3"/>
    <x v="7"/>
    <x v="1"/>
  </r>
  <r>
    <x v="1302"/>
    <x v="2"/>
    <x v="0"/>
    <n v="190.4"/>
    <n v="190.4"/>
    <x v="49"/>
    <x v="54"/>
    <s v="M"/>
    <x v="1"/>
    <x v="4"/>
    <x v="0"/>
    <x v="6"/>
    <x v="0"/>
    <x v="7"/>
    <x v="1"/>
  </r>
  <r>
    <x v="1303"/>
    <x v="2"/>
    <x v="0"/>
    <n v="121.9"/>
    <n v="121.9"/>
    <x v="49"/>
    <x v="47"/>
    <s v="F"/>
    <x v="1"/>
    <x v="2"/>
    <x v="0"/>
    <x v="6"/>
    <x v="1"/>
    <x v="7"/>
    <x v="2"/>
  </r>
  <r>
    <x v="1304"/>
    <x v="2"/>
    <x v="13"/>
    <n v="149.19999999999999"/>
    <n v="895.19999999999993"/>
    <x v="49"/>
    <x v="49"/>
    <s v="F"/>
    <x v="2"/>
    <x v="2"/>
    <x v="0"/>
    <x v="7"/>
    <x v="3"/>
    <x v="7"/>
    <x v="2"/>
  </r>
  <r>
    <x v="1305"/>
    <x v="2"/>
    <x v="0"/>
    <n v="54.1"/>
    <n v="54.1"/>
    <x v="49"/>
    <x v="58"/>
    <s v="F"/>
    <x v="2"/>
    <x v="2"/>
    <x v="0"/>
    <x v="7"/>
    <x v="8"/>
    <x v="7"/>
    <x v="2"/>
  </r>
  <r>
    <x v="1306"/>
    <x v="5"/>
    <x v="1"/>
    <n v="27.4"/>
    <n v="54.8"/>
    <x v="49"/>
    <x v="47"/>
    <s v="M"/>
    <x v="1"/>
    <x v="0"/>
    <x v="0"/>
    <x v="8"/>
    <x v="1"/>
    <x v="7"/>
    <x v="1"/>
  </r>
  <r>
    <x v="1307"/>
    <x v="0"/>
    <x v="15"/>
    <n v="30.4"/>
    <n v="395.2"/>
    <x v="49"/>
    <x v="49"/>
    <s v="F"/>
    <x v="0"/>
    <x v="2"/>
    <x v="0"/>
    <x v="8"/>
    <x v="3"/>
    <x v="7"/>
    <x v="2"/>
  </r>
  <r>
    <x v="1308"/>
    <x v="12"/>
    <x v="2"/>
    <n v="46.2"/>
    <n v="138.60000000000002"/>
    <x v="49"/>
    <x v="47"/>
    <s v="M"/>
    <x v="2"/>
    <x v="1"/>
    <x v="0"/>
    <x v="17"/>
    <x v="1"/>
    <x v="7"/>
    <x v="1"/>
  </r>
  <r>
    <x v="1309"/>
    <x v="7"/>
    <x v="8"/>
    <n v="78.599999999999994"/>
    <n v="628.79999999999995"/>
    <x v="49"/>
    <x v="55"/>
    <s v="M"/>
    <x v="3"/>
    <x v="0"/>
    <x v="0"/>
    <x v="17"/>
    <x v="5"/>
    <x v="7"/>
    <x v="1"/>
  </r>
  <r>
    <x v="1310"/>
    <x v="17"/>
    <x v="7"/>
    <n v="25.9"/>
    <n v="259"/>
    <x v="49"/>
    <x v="51"/>
    <s v="M"/>
    <x v="4"/>
    <x v="0"/>
    <x v="0"/>
    <x v="9"/>
    <x v="4"/>
    <x v="7"/>
    <x v="1"/>
  </r>
  <r>
    <x v="1311"/>
    <x v="6"/>
    <x v="0"/>
    <n v="134.80000000000001"/>
    <n v="134.80000000000001"/>
    <x v="49"/>
    <x v="47"/>
    <s v="M"/>
    <x v="2"/>
    <x v="2"/>
    <x v="0"/>
    <x v="9"/>
    <x v="1"/>
    <x v="7"/>
    <x v="1"/>
  </r>
  <r>
    <x v="1312"/>
    <x v="15"/>
    <x v="9"/>
    <n v="43.1"/>
    <n v="215.5"/>
    <x v="49"/>
    <x v="47"/>
    <s v="F"/>
    <x v="0"/>
    <x v="0"/>
    <x v="0"/>
    <x v="11"/>
    <x v="1"/>
    <x v="7"/>
    <x v="2"/>
  </r>
  <r>
    <x v="1313"/>
    <x v="2"/>
    <x v="1"/>
    <n v="215.6"/>
    <n v="431.2"/>
    <x v="49"/>
    <x v="49"/>
    <s v="F"/>
    <x v="2"/>
    <x v="0"/>
    <x v="0"/>
    <x v="18"/>
    <x v="3"/>
    <x v="7"/>
    <x v="2"/>
  </r>
  <r>
    <x v="1314"/>
    <x v="6"/>
    <x v="1"/>
    <n v="80.7"/>
    <n v="161.4"/>
    <x v="49"/>
    <x v="56"/>
    <s v="F"/>
    <x v="3"/>
    <x v="0"/>
    <x v="0"/>
    <x v="18"/>
    <x v="2"/>
    <x v="7"/>
    <x v="2"/>
  </r>
  <r>
    <x v="1315"/>
    <x v="10"/>
    <x v="3"/>
    <n v="20.6"/>
    <n v="144.20000000000002"/>
    <x v="49"/>
    <x v="54"/>
    <s v=""/>
    <x v="2"/>
    <x v="1"/>
    <x v="0"/>
    <x v="19"/>
    <x v="0"/>
    <x v="7"/>
    <x v="0"/>
  </r>
  <r>
    <x v="1316"/>
    <x v="12"/>
    <x v="2"/>
    <n v="37.1"/>
    <n v="111.30000000000001"/>
    <x v="49"/>
    <x v="49"/>
    <s v="F"/>
    <x v="0"/>
    <x v="0"/>
    <x v="0"/>
    <x v="52"/>
    <x v="3"/>
    <x v="7"/>
    <x v="2"/>
  </r>
  <r>
    <x v="1317"/>
    <x v="12"/>
    <x v="0"/>
    <n v="104.8"/>
    <n v="104.8"/>
    <x v="50"/>
    <x v="56"/>
    <s v="F"/>
    <x v="0"/>
    <x v="0"/>
    <x v="0"/>
    <x v="13"/>
    <x v="1"/>
    <x v="7"/>
    <x v="2"/>
  </r>
  <r>
    <x v="1318"/>
    <x v="8"/>
    <x v="1"/>
    <n v="59"/>
    <n v="118"/>
    <x v="50"/>
    <x v="47"/>
    <s v="M"/>
    <x v="1"/>
    <x v="0"/>
    <x v="0"/>
    <x v="21"/>
    <x v="3"/>
    <x v="7"/>
    <x v="1"/>
  </r>
  <r>
    <x v="1319"/>
    <x v="8"/>
    <x v="1"/>
    <n v="32.299999999999997"/>
    <n v="64.599999999999994"/>
    <x v="50"/>
    <x v="47"/>
    <s v="M"/>
    <x v="0"/>
    <x v="2"/>
    <x v="0"/>
    <x v="21"/>
    <x v="3"/>
    <x v="7"/>
    <x v="1"/>
  </r>
  <r>
    <x v="1320"/>
    <x v="8"/>
    <x v="12"/>
    <n v="28.9"/>
    <n v="115.6"/>
    <x v="50"/>
    <x v="53"/>
    <s v="M"/>
    <x v="0"/>
    <x v="0"/>
    <x v="0"/>
    <x v="1"/>
    <x v="6"/>
    <x v="7"/>
    <x v="1"/>
  </r>
  <r>
    <x v="1321"/>
    <x v="0"/>
    <x v="1"/>
    <n v="29.6"/>
    <n v="59.2"/>
    <x v="50"/>
    <x v="56"/>
    <s v="M"/>
    <x v="0"/>
    <x v="0"/>
    <x v="0"/>
    <x v="1"/>
    <x v="1"/>
    <x v="7"/>
    <x v="1"/>
  </r>
  <r>
    <x v="1322"/>
    <x v="0"/>
    <x v="9"/>
    <n v="29.4"/>
    <n v="147"/>
    <x v="50"/>
    <x v="55"/>
    <s v="F"/>
    <x v="0"/>
    <x v="0"/>
    <x v="0"/>
    <x v="1"/>
    <x v="2"/>
    <x v="7"/>
    <x v="2"/>
  </r>
  <r>
    <x v="1323"/>
    <x v="1"/>
    <x v="1"/>
    <n v="40.6"/>
    <n v="81.2"/>
    <x v="50"/>
    <x v="47"/>
    <s v="M"/>
    <x v="0"/>
    <x v="4"/>
    <x v="0"/>
    <x v="2"/>
    <x v="3"/>
    <x v="7"/>
    <x v="1"/>
  </r>
  <r>
    <x v="1324"/>
    <x v="0"/>
    <x v="2"/>
    <n v="32.5"/>
    <n v="97.5"/>
    <x v="50"/>
    <x v="47"/>
    <s v="M"/>
    <x v="3"/>
    <x v="2"/>
    <x v="0"/>
    <x v="22"/>
    <x v="3"/>
    <x v="7"/>
    <x v="1"/>
  </r>
  <r>
    <x v="1325"/>
    <x v="15"/>
    <x v="0"/>
    <n v="26.2"/>
    <n v="26.2"/>
    <x v="50"/>
    <x v="56"/>
    <s v="M"/>
    <x v="2"/>
    <x v="0"/>
    <x v="0"/>
    <x v="55"/>
    <x v="1"/>
    <x v="7"/>
    <x v="1"/>
  </r>
  <r>
    <x v="1326"/>
    <x v="10"/>
    <x v="17"/>
    <n v="44"/>
    <n v="1320"/>
    <x v="50"/>
    <x v="52"/>
    <s v="M"/>
    <x v="4"/>
    <x v="0"/>
    <x v="0"/>
    <x v="3"/>
    <x v="4"/>
    <x v="7"/>
    <x v="1"/>
  </r>
  <r>
    <x v="1327"/>
    <x v="7"/>
    <x v="12"/>
    <n v="65.599999999999994"/>
    <n v="262.39999999999998"/>
    <x v="50"/>
    <x v="47"/>
    <s v="F"/>
    <x v="1"/>
    <x v="1"/>
    <x v="0"/>
    <x v="3"/>
    <x v="3"/>
    <x v="7"/>
    <x v="2"/>
  </r>
  <r>
    <x v="1328"/>
    <x v="5"/>
    <x v="4"/>
    <n v="32.6"/>
    <n v="391.20000000000005"/>
    <x v="50"/>
    <x v="47"/>
    <s v="M"/>
    <x v="4"/>
    <x v="0"/>
    <x v="0"/>
    <x v="3"/>
    <x v="3"/>
    <x v="7"/>
    <x v="1"/>
  </r>
  <r>
    <x v="1329"/>
    <x v="16"/>
    <x v="1"/>
    <n v="88.7"/>
    <n v="177.4"/>
    <x v="50"/>
    <x v="47"/>
    <s v=""/>
    <x v="3"/>
    <x v="2"/>
    <x v="0"/>
    <x v="3"/>
    <x v="3"/>
    <x v="7"/>
    <x v="0"/>
  </r>
  <r>
    <x v="1330"/>
    <x v="4"/>
    <x v="1"/>
    <n v="21.3"/>
    <n v="42.6"/>
    <x v="50"/>
    <x v="47"/>
    <s v="M"/>
    <x v="0"/>
    <x v="0"/>
    <x v="0"/>
    <x v="3"/>
    <x v="3"/>
    <x v="7"/>
    <x v="1"/>
  </r>
  <r>
    <x v="1331"/>
    <x v="4"/>
    <x v="13"/>
    <n v="50.6"/>
    <n v="303.60000000000002"/>
    <x v="50"/>
    <x v="54"/>
    <s v="F"/>
    <x v="2"/>
    <x v="0"/>
    <x v="0"/>
    <x v="3"/>
    <x v="5"/>
    <x v="7"/>
    <x v="2"/>
  </r>
  <r>
    <x v="1332"/>
    <x v="9"/>
    <x v="38"/>
    <n v="86.9"/>
    <n v="1824.9"/>
    <x v="50"/>
    <x v="55"/>
    <s v="F"/>
    <x v="0"/>
    <x v="1"/>
    <x v="0"/>
    <x v="3"/>
    <x v="2"/>
    <x v="7"/>
    <x v="2"/>
  </r>
  <r>
    <x v="1333"/>
    <x v="11"/>
    <x v="2"/>
    <n v="31.8"/>
    <n v="95.4"/>
    <x v="50"/>
    <x v="56"/>
    <s v="M"/>
    <x v="0"/>
    <x v="2"/>
    <x v="0"/>
    <x v="3"/>
    <x v="1"/>
    <x v="7"/>
    <x v="1"/>
  </r>
  <r>
    <x v="1334"/>
    <x v="8"/>
    <x v="0"/>
    <n v="19"/>
    <n v="19"/>
    <x v="50"/>
    <x v="47"/>
    <s v="F"/>
    <x v="0"/>
    <x v="2"/>
    <x v="0"/>
    <x v="3"/>
    <x v="3"/>
    <x v="7"/>
    <x v="2"/>
  </r>
  <r>
    <x v="1335"/>
    <x v="5"/>
    <x v="0"/>
    <n v="54.5"/>
    <n v="54.5"/>
    <x v="50"/>
    <x v="56"/>
    <s v="M"/>
    <x v="0"/>
    <x v="0"/>
    <x v="0"/>
    <x v="3"/>
    <x v="1"/>
    <x v="7"/>
    <x v="1"/>
  </r>
  <r>
    <x v="1336"/>
    <x v="9"/>
    <x v="9"/>
    <n v="68.900000000000006"/>
    <n v="344.5"/>
    <x v="50"/>
    <x v="56"/>
    <s v="M"/>
    <x v="4"/>
    <x v="1"/>
    <x v="0"/>
    <x v="3"/>
    <x v="1"/>
    <x v="7"/>
    <x v="1"/>
  </r>
  <r>
    <x v="1337"/>
    <x v="6"/>
    <x v="2"/>
    <n v="84"/>
    <n v="252"/>
    <x v="50"/>
    <x v="47"/>
    <s v="M"/>
    <x v="1"/>
    <x v="4"/>
    <x v="0"/>
    <x v="16"/>
    <x v="3"/>
    <x v="7"/>
    <x v="1"/>
  </r>
  <r>
    <x v="1338"/>
    <x v="15"/>
    <x v="8"/>
    <n v="23.1"/>
    <n v="184.8"/>
    <x v="50"/>
    <x v="51"/>
    <s v="M"/>
    <x v="0"/>
    <x v="2"/>
    <x v="0"/>
    <x v="23"/>
    <x v="0"/>
    <x v="7"/>
    <x v="1"/>
  </r>
  <r>
    <x v="1339"/>
    <x v="7"/>
    <x v="1"/>
    <n v="62.4"/>
    <n v="124.8"/>
    <x v="50"/>
    <x v="47"/>
    <s v="F"/>
    <x v="0"/>
    <x v="1"/>
    <x v="0"/>
    <x v="6"/>
    <x v="3"/>
    <x v="7"/>
    <x v="2"/>
  </r>
  <r>
    <x v="1340"/>
    <x v="6"/>
    <x v="4"/>
    <n v="40.700000000000003"/>
    <n v="488.40000000000003"/>
    <x v="50"/>
    <x v="56"/>
    <s v="M"/>
    <x v="1"/>
    <x v="2"/>
    <x v="0"/>
    <x v="6"/>
    <x v="1"/>
    <x v="7"/>
    <x v="1"/>
  </r>
  <r>
    <x v="1341"/>
    <x v="6"/>
    <x v="0"/>
    <n v="49.6"/>
    <n v="49.6"/>
    <x v="50"/>
    <x v="55"/>
    <s v="M"/>
    <x v="2"/>
    <x v="0"/>
    <x v="0"/>
    <x v="7"/>
    <x v="2"/>
    <x v="7"/>
    <x v="1"/>
  </r>
  <r>
    <x v="1342"/>
    <x v="7"/>
    <x v="41"/>
    <n v="66.599999999999994"/>
    <n v="2996.9999999999995"/>
    <x v="50"/>
    <x v="55"/>
    <s v="M"/>
    <x v="2"/>
    <x v="0"/>
    <x v="0"/>
    <x v="8"/>
    <x v="2"/>
    <x v="7"/>
    <x v="1"/>
  </r>
  <r>
    <x v="1343"/>
    <x v="8"/>
    <x v="2"/>
    <n v="26.4"/>
    <n v="79.199999999999989"/>
    <x v="50"/>
    <x v="47"/>
    <s v="F"/>
    <x v="1"/>
    <x v="1"/>
    <x v="0"/>
    <x v="8"/>
    <x v="3"/>
    <x v="7"/>
    <x v="2"/>
  </r>
  <r>
    <x v="1344"/>
    <x v="0"/>
    <x v="1"/>
    <n v="17.2"/>
    <n v="34.4"/>
    <x v="50"/>
    <x v="55"/>
    <s v="M"/>
    <x v="2"/>
    <x v="1"/>
    <x v="0"/>
    <x v="8"/>
    <x v="2"/>
    <x v="7"/>
    <x v="1"/>
  </r>
  <r>
    <x v="1345"/>
    <x v="5"/>
    <x v="8"/>
    <n v="58.1"/>
    <n v="464.8"/>
    <x v="50"/>
    <x v="55"/>
    <s v="F"/>
    <x v="4"/>
    <x v="0"/>
    <x v="0"/>
    <x v="8"/>
    <x v="2"/>
    <x v="7"/>
    <x v="2"/>
  </r>
  <r>
    <x v="1346"/>
    <x v="15"/>
    <x v="12"/>
    <n v="31.5"/>
    <n v="126"/>
    <x v="50"/>
    <x v="55"/>
    <s v="F"/>
    <x v="4"/>
    <x v="4"/>
    <x v="0"/>
    <x v="8"/>
    <x v="2"/>
    <x v="7"/>
    <x v="2"/>
  </r>
  <r>
    <x v="1347"/>
    <x v="0"/>
    <x v="0"/>
    <n v="27.1"/>
    <n v="27.1"/>
    <x v="50"/>
    <x v="56"/>
    <s v="F"/>
    <x v="0"/>
    <x v="1"/>
    <x v="0"/>
    <x v="17"/>
    <x v="1"/>
    <x v="7"/>
    <x v="2"/>
  </r>
  <r>
    <x v="1348"/>
    <x v="18"/>
    <x v="12"/>
    <n v="28.5"/>
    <n v="114"/>
    <x v="50"/>
    <x v="56"/>
    <s v="M"/>
    <x v="1"/>
    <x v="2"/>
    <x v="0"/>
    <x v="9"/>
    <x v="1"/>
    <x v="7"/>
    <x v="1"/>
  </r>
  <r>
    <x v="1349"/>
    <x v="10"/>
    <x v="0"/>
    <n v="40.5"/>
    <n v="40.5"/>
    <x v="51"/>
    <x v="55"/>
    <s v="O"/>
    <x v="2"/>
    <x v="0"/>
    <x v="0"/>
    <x v="9"/>
    <x v="1"/>
    <x v="7"/>
    <x v="3"/>
  </r>
  <r>
    <x v="1350"/>
    <x v="2"/>
    <x v="2"/>
    <n v="77.900000000000006"/>
    <n v="233.70000000000002"/>
    <x v="51"/>
    <x v="51"/>
    <s v="F"/>
    <x v="1"/>
    <x v="2"/>
    <x v="0"/>
    <x v="19"/>
    <x v="5"/>
    <x v="7"/>
    <x v="2"/>
  </r>
  <r>
    <x v="1351"/>
    <x v="18"/>
    <x v="12"/>
    <n v="37.1"/>
    <n v="148.4"/>
    <x v="51"/>
    <x v="55"/>
    <s v="M"/>
    <x v="4"/>
    <x v="2"/>
    <x v="0"/>
    <x v="19"/>
    <x v="1"/>
    <x v="7"/>
    <x v="1"/>
  </r>
  <r>
    <x v="1352"/>
    <x v="16"/>
    <x v="2"/>
    <n v="51.6"/>
    <n v="154.80000000000001"/>
    <x v="51"/>
    <x v="59"/>
    <s v="F"/>
    <x v="0"/>
    <x v="4"/>
    <x v="0"/>
    <x v="19"/>
    <x v="9"/>
    <x v="7"/>
    <x v="2"/>
  </r>
  <r>
    <x v="1353"/>
    <x v="7"/>
    <x v="2"/>
    <n v="98"/>
    <n v="294"/>
    <x v="51"/>
    <x v="56"/>
    <s v="M"/>
    <x v="1"/>
    <x v="1"/>
    <x v="0"/>
    <x v="19"/>
    <x v="3"/>
    <x v="7"/>
    <x v="1"/>
  </r>
  <r>
    <x v="1354"/>
    <x v="6"/>
    <x v="3"/>
    <n v="41.4"/>
    <n v="289.8"/>
    <x v="51"/>
    <x v="56"/>
    <s v="M"/>
    <x v="1"/>
    <x v="0"/>
    <x v="0"/>
    <x v="20"/>
    <x v="3"/>
    <x v="7"/>
    <x v="1"/>
  </r>
  <r>
    <x v="1355"/>
    <x v="11"/>
    <x v="8"/>
    <n v="34"/>
    <n v="272"/>
    <x v="51"/>
    <x v="52"/>
    <s v="F"/>
    <x v="0"/>
    <x v="2"/>
    <x v="0"/>
    <x v="52"/>
    <x v="0"/>
    <x v="7"/>
    <x v="2"/>
  </r>
  <r>
    <x v="1356"/>
    <x v="6"/>
    <x v="0"/>
    <n v="66.3"/>
    <n v="66.3"/>
    <x v="51"/>
    <x v="56"/>
    <s v="F"/>
    <x v="1"/>
    <x v="0"/>
    <x v="0"/>
    <x v="13"/>
    <x v="3"/>
    <x v="7"/>
    <x v="2"/>
  </r>
  <r>
    <x v="1357"/>
    <x v="7"/>
    <x v="0"/>
    <n v="33.5"/>
    <n v="33.5"/>
    <x v="51"/>
    <x v="51"/>
    <s v="M"/>
    <x v="2"/>
    <x v="0"/>
    <x v="0"/>
    <x v="13"/>
    <x v="5"/>
    <x v="7"/>
    <x v="1"/>
  </r>
  <r>
    <x v="1358"/>
    <x v="12"/>
    <x v="1"/>
    <n v="70.8"/>
    <n v="141.6"/>
    <x v="51"/>
    <x v="56"/>
    <s v=""/>
    <x v="0"/>
    <x v="0"/>
    <x v="0"/>
    <x v="28"/>
    <x v="3"/>
    <x v="7"/>
    <x v="0"/>
  </r>
  <r>
    <x v="1359"/>
    <x v="6"/>
    <x v="1"/>
    <n v="127.6"/>
    <n v="255.2"/>
    <x v="51"/>
    <x v="56"/>
    <s v="M"/>
    <x v="0"/>
    <x v="0"/>
    <x v="0"/>
    <x v="21"/>
    <x v="3"/>
    <x v="7"/>
    <x v="1"/>
  </r>
  <r>
    <x v="1360"/>
    <x v="6"/>
    <x v="2"/>
    <n v="95.9"/>
    <n v="287.70000000000005"/>
    <x v="51"/>
    <x v="56"/>
    <s v="F"/>
    <x v="1"/>
    <x v="1"/>
    <x v="0"/>
    <x v="21"/>
    <x v="3"/>
    <x v="7"/>
    <x v="2"/>
  </r>
  <r>
    <x v="1361"/>
    <x v="2"/>
    <x v="1"/>
    <n v="78.099999999999994"/>
    <n v="156.19999999999999"/>
    <x v="51"/>
    <x v="56"/>
    <s v="M"/>
    <x v="0"/>
    <x v="0"/>
    <x v="0"/>
    <x v="1"/>
    <x v="3"/>
    <x v="7"/>
    <x v="1"/>
  </r>
  <r>
    <x v="1362"/>
    <x v="13"/>
    <x v="1"/>
    <n v="43.2"/>
    <n v="86.4"/>
    <x v="51"/>
    <x v="56"/>
    <s v=""/>
    <x v="1"/>
    <x v="1"/>
    <x v="0"/>
    <x v="1"/>
    <x v="3"/>
    <x v="7"/>
    <x v="0"/>
  </r>
  <r>
    <x v="1363"/>
    <x v="8"/>
    <x v="12"/>
    <n v="28.4"/>
    <n v="113.6"/>
    <x v="51"/>
    <x v="53"/>
    <s v="M"/>
    <x v="2"/>
    <x v="0"/>
    <x v="0"/>
    <x v="3"/>
    <x v="4"/>
    <x v="7"/>
    <x v="1"/>
  </r>
  <r>
    <x v="1364"/>
    <x v="2"/>
    <x v="1"/>
    <n v="81.7"/>
    <n v="163.4"/>
    <x v="51"/>
    <x v="47"/>
    <s v="M"/>
    <x v="0"/>
    <x v="0"/>
    <x v="0"/>
    <x v="3"/>
    <x v="7"/>
    <x v="7"/>
    <x v="1"/>
  </r>
  <r>
    <x v="1365"/>
    <x v="18"/>
    <x v="1"/>
    <n v="56.7"/>
    <n v="113.4"/>
    <x v="51"/>
    <x v="55"/>
    <s v=""/>
    <x v="0"/>
    <x v="2"/>
    <x v="0"/>
    <x v="3"/>
    <x v="1"/>
    <x v="7"/>
    <x v="0"/>
  </r>
  <r>
    <x v="1366"/>
    <x v="3"/>
    <x v="12"/>
    <n v="66.5"/>
    <n v="266"/>
    <x v="51"/>
    <x v="47"/>
    <s v="F"/>
    <x v="0"/>
    <x v="2"/>
    <x v="0"/>
    <x v="3"/>
    <x v="7"/>
    <x v="7"/>
    <x v="2"/>
  </r>
  <r>
    <x v="1367"/>
    <x v="1"/>
    <x v="1"/>
    <n v="105.3"/>
    <n v="210.6"/>
    <x v="51"/>
    <x v="51"/>
    <s v="M"/>
    <x v="0"/>
    <x v="1"/>
    <x v="0"/>
    <x v="3"/>
    <x v="5"/>
    <x v="7"/>
    <x v="1"/>
  </r>
  <r>
    <x v="1368"/>
    <x v="10"/>
    <x v="9"/>
    <n v="33.799999999999997"/>
    <n v="169"/>
    <x v="51"/>
    <x v="52"/>
    <s v="M"/>
    <x v="0"/>
    <x v="0"/>
    <x v="0"/>
    <x v="3"/>
    <x v="0"/>
    <x v="7"/>
    <x v="1"/>
  </r>
  <r>
    <x v="1369"/>
    <x v="6"/>
    <x v="2"/>
    <n v="63.4"/>
    <n v="190.2"/>
    <x v="51"/>
    <x v="52"/>
    <s v="M"/>
    <x v="3"/>
    <x v="1"/>
    <x v="0"/>
    <x v="24"/>
    <x v="0"/>
    <x v="7"/>
    <x v="1"/>
  </r>
  <r>
    <x v="1370"/>
    <x v="6"/>
    <x v="2"/>
    <n v="49"/>
    <n v="147"/>
    <x v="51"/>
    <x v="51"/>
    <s v="M"/>
    <x v="3"/>
    <x v="0"/>
    <x v="0"/>
    <x v="49"/>
    <x v="5"/>
    <x v="7"/>
    <x v="1"/>
  </r>
  <r>
    <x v="1371"/>
    <x v="1"/>
    <x v="1"/>
    <n v="40"/>
    <n v="80"/>
    <x v="51"/>
    <x v="56"/>
    <s v="F"/>
    <x v="4"/>
    <x v="1"/>
    <x v="0"/>
    <x v="23"/>
    <x v="3"/>
    <x v="7"/>
    <x v="2"/>
  </r>
  <r>
    <x v="1372"/>
    <x v="6"/>
    <x v="12"/>
    <n v="86.3"/>
    <n v="345.2"/>
    <x v="51"/>
    <x v="56"/>
    <s v="O"/>
    <x v="0"/>
    <x v="0"/>
    <x v="0"/>
    <x v="6"/>
    <x v="3"/>
    <x v="7"/>
    <x v="3"/>
  </r>
  <r>
    <x v="1373"/>
    <x v="6"/>
    <x v="0"/>
    <n v="51.6"/>
    <n v="51.6"/>
    <x v="51"/>
    <x v="55"/>
    <s v="F"/>
    <x v="2"/>
    <x v="2"/>
    <x v="0"/>
    <x v="6"/>
    <x v="1"/>
    <x v="7"/>
    <x v="2"/>
  </r>
  <r>
    <x v="1374"/>
    <x v="10"/>
    <x v="2"/>
    <n v="26.7"/>
    <n v="80.099999999999994"/>
    <x v="51"/>
    <x v="52"/>
    <s v="F"/>
    <x v="2"/>
    <x v="1"/>
    <x v="0"/>
    <x v="6"/>
    <x v="0"/>
    <x v="7"/>
    <x v="2"/>
  </r>
  <r>
    <x v="1375"/>
    <x v="18"/>
    <x v="1"/>
    <n v="68.099999999999994"/>
    <n v="136.19999999999999"/>
    <x v="51"/>
    <x v="56"/>
    <s v="M"/>
    <x v="0"/>
    <x v="1"/>
    <x v="0"/>
    <x v="6"/>
    <x v="3"/>
    <x v="7"/>
    <x v="1"/>
  </r>
  <r>
    <x v="1376"/>
    <x v="1"/>
    <x v="0"/>
    <n v="81.7"/>
    <n v="81.7"/>
    <x v="51"/>
    <x v="56"/>
    <s v="M"/>
    <x v="0"/>
    <x v="0"/>
    <x v="0"/>
    <x v="7"/>
    <x v="3"/>
    <x v="7"/>
    <x v="1"/>
  </r>
  <r>
    <x v="1377"/>
    <x v="18"/>
    <x v="7"/>
    <n v="25.1"/>
    <n v="251"/>
    <x v="51"/>
    <x v="54"/>
    <s v="M"/>
    <x v="3"/>
    <x v="1"/>
    <x v="0"/>
    <x v="8"/>
    <x v="2"/>
    <x v="7"/>
    <x v="1"/>
  </r>
  <r>
    <x v="1378"/>
    <x v="8"/>
    <x v="0"/>
    <n v="20.2"/>
    <n v="20.2"/>
    <x v="51"/>
    <x v="51"/>
    <s v="F"/>
    <x v="0"/>
    <x v="0"/>
    <x v="0"/>
    <x v="8"/>
    <x v="5"/>
    <x v="7"/>
    <x v="2"/>
  </r>
  <r>
    <x v="1379"/>
    <x v="8"/>
    <x v="2"/>
    <n v="15.4"/>
    <n v="46.2"/>
    <x v="51"/>
    <x v="56"/>
    <s v="M"/>
    <x v="1"/>
    <x v="2"/>
    <x v="0"/>
    <x v="8"/>
    <x v="3"/>
    <x v="7"/>
    <x v="1"/>
  </r>
  <r>
    <x v="1380"/>
    <x v="10"/>
    <x v="0"/>
    <n v="59.2"/>
    <n v="59.2"/>
    <x v="51"/>
    <x v="56"/>
    <s v="M"/>
    <x v="2"/>
    <x v="2"/>
    <x v="0"/>
    <x v="17"/>
    <x v="3"/>
    <x v="7"/>
    <x v="1"/>
  </r>
  <r>
    <x v="1381"/>
    <x v="0"/>
    <x v="0"/>
    <n v="46.7"/>
    <n v="46.7"/>
    <x v="51"/>
    <x v="52"/>
    <s v="M"/>
    <x v="0"/>
    <x v="0"/>
    <x v="0"/>
    <x v="17"/>
    <x v="0"/>
    <x v="7"/>
    <x v="1"/>
  </r>
  <r>
    <x v="1382"/>
    <x v="6"/>
    <x v="20"/>
    <n v="41.6"/>
    <n v="624"/>
    <x v="51"/>
    <x v="55"/>
    <s v="M"/>
    <x v="1"/>
    <x v="0"/>
    <x v="0"/>
    <x v="26"/>
    <x v="1"/>
    <x v="7"/>
    <x v="1"/>
  </r>
  <r>
    <x v="1383"/>
    <x v="8"/>
    <x v="1"/>
    <n v="19.2"/>
    <n v="38.4"/>
    <x v="51"/>
    <x v="54"/>
    <s v="M"/>
    <x v="4"/>
    <x v="2"/>
    <x v="0"/>
    <x v="9"/>
    <x v="2"/>
    <x v="7"/>
    <x v="1"/>
  </r>
  <r>
    <x v="1384"/>
    <x v="17"/>
    <x v="3"/>
    <n v="41.8"/>
    <n v="292.59999999999997"/>
    <x v="51"/>
    <x v="55"/>
    <s v="F"/>
    <x v="2"/>
    <x v="0"/>
    <x v="0"/>
    <x v="11"/>
    <x v="1"/>
    <x v="7"/>
    <x v="2"/>
  </r>
  <r>
    <x v="1385"/>
    <x v="8"/>
    <x v="13"/>
    <n v="37.4"/>
    <n v="224.39999999999998"/>
    <x v="51"/>
    <x v="55"/>
    <s v="M"/>
    <x v="0"/>
    <x v="2"/>
    <x v="0"/>
    <x v="11"/>
    <x v="1"/>
    <x v="7"/>
    <x v="1"/>
  </r>
  <r>
    <x v="1386"/>
    <x v="10"/>
    <x v="2"/>
    <n v="60.2"/>
    <n v="180.60000000000002"/>
    <x v="51"/>
    <x v="54"/>
    <s v="M"/>
    <x v="4"/>
    <x v="1"/>
    <x v="0"/>
    <x v="38"/>
    <x v="2"/>
    <x v="7"/>
    <x v="1"/>
  </r>
  <r>
    <x v="1387"/>
    <x v="9"/>
    <x v="1"/>
    <n v="91.5"/>
    <n v="183"/>
    <x v="52"/>
    <x v="55"/>
    <s v="M"/>
    <x v="0"/>
    <x v="0"/>
    <x v="0"/>
    <x v="13"/>
    <x v="3"/>
    <x v="7"/>
    <x v="1"/>
  </r>
  <r>
    <x v="1388"/>
    <x v="3"/>
    <x v="9"/>
    <n v="55.7"/>
    <n v="278.5"/>
    <x v="52"/>
    <x v="54"/>
    <s v=""/>
    <x v="1"/>
    <x v="2"/>
    <x v="0"/>
    <x v="21"/>
    <x v="1"/>
    <x v="7"/>
    <x v="0"/>
  </r>
  <r>
    <x v="1389"/>
    <x v="7"/>
    <x v="1"/>
    <n v="76.7"/>
    <n v="153.4"/>
    <x v="52"/>
    <x v="54"/>
    <s v="M"/>
    <x v="0"/>
    <x v="1"/>
    <x v="0"/>
    <x v="21"/>
    <x v="1"/>
    <x v="7"/>
    <x v="1"/>
  </r>
  <r>
    <x v="1390"/>
    <x v="8"/>
    <x v="38"/>
    <n v="28.2"/>
    <n v="592.19999999999993"/>
    <x v="52"/>
    <x v="53"/>
    <s v="M"/>
    <x v="2"/>
    <x v="0"/>
    <x v="0"/>
    <x v="1"/>
    <x v="0"/>
    <x v="7"/>
    <x v="1"/>
  </r>
  <r>
    <x v="1391"/>
    <x v="7"/>
    <x v="9"/>
    <n v="93.2"/>
    <n v="466"/>
    <x v="52"/>
    <x v="54"/>
    <s v="F"/>
    <x v="4"/>
    <x v="2"/>
    <x v="0"/>
    <x v="1"/>
    <x v="1"/>
    <x v="7"/>
    <x v="2"/>
  </r>
  <r>
    <x v="1392"/>
    <x v="17"/>
    <x v="0"/>
    <n v="33.299999999999997"/>
    <n v="33.299999999999997"/>
    <x v="52"/>
    <x v="55"/>
    <s v="M"/>
    <x v="4"/>
    <x v="0"/>
    <x v="0"/>
    <x v="2"/>
    <x v="3"/>
    <x v="7"/>
    <x v="1"/>
  </r>
  <r>
    <x v="1393"/>
    <x v="10"/>
    <x v="1"/>
    <n v="39.1"/>
    <n v="78.2"/>
    <x v="52"/>
    <x v="51"/>
    <s v="M"/>
    <x v="0"/>
    <x v="0"/>
    <x v="0"/>
    <x v="44"/>
    <x v="2"/>
    <x v="7"/>
    <x v="1"/>
  </r>
  <r>
    <x v="1394"/>
    <x v="7"/>
    <x v="4"/>
    <n v="45.3"/>
    <n v="543.59999999999991"/>
    <x v="52"/>
    <x v="55"/>
    <s v="M"/>
    <x v="2"/>
    <x v="0"/>
    <x v="0"/>
    <x v="33"/>
    <x v="3"/>
    <x v="7"/>
    <x v="1"/>
  </r>
  <r>
    <x v="1395"/>
    <x v="9"/>
    <x v="3"/>
    <n v="33.9"/>
    <n v="237.29999999999998"/>
    <x v="52"/>
    <x v="55"/>
    <s v="M"/>
    <x v="4"/>
    <x v="0"/>
    <x v="0"/>
    <x v="33"/>
    <x v="3"/>
    <x v="7"/>
    <x v="1"/>
  </r>
  <r>
    <x v="1396"/>
    <x v="8"/>
    <x v="2"/>
    <n v="19"/>
    <n v="57"/>
    <x v="52"/>
    <x v="55"/>
    <s v="M"/>
    <x v="0"/>
    <x v="2"/>
    <x v="0"/>
    <x v="15"/>
    <x v="3"/>
    <x v="7"/>
    <x v="1"/>
  </r>
  <r>
    <x v="1397"/>
    <x v="4"/>
    <x v="0"/>
    <n v="41.9"/>
    <n v="41.9"/>
    <x v="52"/>
    <x v="51"/>
    <s v="F"/>
    <x v="2"/>
    <x v="0"/>
    <x v="0"/>
    <x v="22"/>
    <x v="2"/>
    <x v="7"/>
    <x v="2"/>
  </r>
  <r>
    <x v="1398"/>
    <x v="1"/>
    <x v="12"/>
    <n v="37.5"/>
    <n v="150"/>
    <x v="52"/>
    <x v="56"/>
    <s v="F"/>
    <x v="0"/>
    <x v="0"/>
    <x v="0"/>
    <x v="3"/>
    <x v="7"/>
    <x v="7"/>
    <x v="2"/>
  </r>
  <r>
    <x v="1399"/>
    <x v="0"/>
    <x v="1"/>
    <n v="40.799999999999997"/>
    <n v="81.599999999999994"/>
    <x v="52"/>
    <x v="51"/>
    <s v="M"/>
    <x v="0"/>
    <x v="0"/>
    <x v="0"/>
    <x v="3"/>
    <x v="2"/>
    <x v="7"/>
    <x v="1"/>
  </r>
  <r>
    <x v="1400"/>
    <x v="0"/>
    <x v="12"/>
    <n v="23.1"/>
    <n v="92.4"/>
    <x v="52"/>
    <x v="55"/>
    <s v="F"/>
    <x v="4"/>
    <x v="0"/>
    <x v="0"/>
    <x v="3"/>
    <x v="3"/>
    <x v="7"/>
    <x v="2"/>
  </r>
  <r>
    <x v="1401"/>
    <x v="8"/>
    <x v="9"/>
    <n v="39.299999999999997"/>
    <n v="196.5"/>
    <x v="52"/>
    <x v="55"/>
    <s v="F"/>
    <x v="0"/>
    <x v="0"/>
    <x v="0"/>
    <x v="3"/>
    <x v="3"/>
    <x v="7"/>
    <x v="2"/>
  </r>
  <r>
    <x v="1402"/>
    <x v="2"/>
    <x v="12"/>
    <n v="85.2"/>
    <n v="340.8"/>
    <x v="52"/>
    <x v="53"/>
    <s v="M"/>
    <x v="2"/>
    <x v="0"/>
    <x v="0"/>
    <x v="3"/>
    <x v="0"/>
    <x v="7"/>
    <x v="1"/>
  </r>
  <r>
    <x v="1403"/>
    <x v="8"/>
    <x v="13"/>
    <n v="16"/>
    <n v="96"/>
    <x v="52"/>
    <x v="51"/>
    <s v="M"/>
    <x v="1"/>
    <x v="0"/>
    <x v="0"/>
    <x v="3"/>
    <x v="2"/>
    <x v="7"/>
    <x v="1"/>
  </r>
  <r>
    <x v="1404"/>
    <x v="1"/>
    <x v="1"/>
    <n v="33.799999999999997"/>
    <n v="67.599999999999994"/>
    <x v="52"/>
    <x v="52"/>
    <s v="F"/>
    <x v="1"/>
    <x v="0"/>
    <x v="0"/>
    <x v="3"/>
    <x v="5"/>
    <x v="7"/>
    <x v="2"/>
  </r>
  <r>
    <x v="1405"/>
    <x v="3"/>
    <x v="0"/>
    <n v="70"/>
    <n v="70"/>
    <x v="52"/>
    <x v="55"/>
    <s v="F"/>
    <x v="0"/>
    <x v="0"/>
    <x v="0"/>
    <x v="3"/>
    <x v="3"/>
    <x v="7"/>
    <x v="2"/>
  </r>
  <r>
    <x v="1406"/>
    <x v="9"/>
    <x v="0"/>
    <n v="88"/>
    <n v="88"/>
    <x v="52"/>
    <x v="53"/>
    <s v="F"/>
    <x v="3"/>
    <x v="0"/>
    <x v="0"/>
    <x v="3"/>
    <x v="0"/>
    <x v="7"/>
    <x v="2"/>
  </r>
  <r>
    <x v="1407"/>
    <x v="2"/>
    <x v="2"/>
    <n v="74.099999999999994"/>
    <n v="222.29999999999998"/>
    <x v="52"/>
    <x v="56"/>
    <s v="M"/>
    <x v="4"/>
    <x v="1"/>
    <x v="0"/>
    <x v="3"/>
    <x v="7"/>
    <x v="7"/>
    <x v="1"/>
  </r>
  <r>
    <x v="1408"/>
    <x v="2"/>
    <x v="0"/>
    <n v="161.9"/>
    <n v="161.9"/>
    <x v="52"/>
    <x v="54"/>
    <s v="M"/>
    <x v="2"/>
    <x v="0"/>
    <x v="0"/>
    <x v="3"/>
    <x v="1"/>
    <x v="7"/>
    <x v="1"/>
  </r>
  <r>
    <x v="1409"/>
    <x v="4"/>
    <x v="1"/>
    <n v="44"/>
    <n v="88"/>
    <x v="52"/>
    <x v="55"/>
    <s v="O"/>
    <x v="4"/>
    <x v="1"/>
    <x v="0"/>
    <x v="3"/>
    <x v="3"/>
    <x v="7"/>
    <x v="3"/>
  </r>
  <r>
    <x v="1410"/>
    <x v="11"/>
    <x v="0"/>
    <n v="32.1"/>
    <n v="32.1"/>
    <x v="52"/>
    <x v="56"/>
    <s v="F"/>
    <x v="3"/>
    <x v="3"/>
    <x v="0"/>
    <x v="3"/>
    <x v="7"/>
    <x v="7"/>
    <x v="2"/>
  </r>
  <r>
    <x v="1411"/>
    <x v="2"/>
    <x v="12"/>
    <n v="104.8"/>
    <n v="419.2"/>
    <x v="53"/>
    <x v="51"/>
    <s v="O"/>
    <x v="0"/>
    <x v="0"/>
    <x v="0"/>
    <x v="3"/>
    <x v="1"/>
    <x v="8"/>
    <x v="3"/>
  </r>
  <r>
    <x v="1412"/>
    <x v="9"/>
    <x v="13"/>
    <n v="67.400000000000006"/>
    <n v="404.40000000000003"/>
    <x v="53"/>
    <x v="54"/>
    <s v="F"/>
    <x v="3"/>
    <x v="0"/>
    <x v="0"/>
    <x v="3"/>
    <x v="3"/>
    <x v="8"/>
    <x v="2"/>
  </r>
  <r>
    <x v="1413"/>
    <x v="6"/>
    <x v="1"/>
    <n v="115.2"/>
    <n v="230.4"/>
    <x v="53"/>
    <x v="54"/>
    <s v="F"/>
    <x v="1"/>
    <x v="0"/>
    <x v="0"/>
    <x v="4"/>
    <x v="3"/>
    <x v="8"/>
    <x v="2"/>
  </r>
  <r>
    <x v="1414"/>
    <x v="8"/>
    <x v="19"/>
    <n v="15.5"/>
    <n v="449.5"/>
    <x v="53"/>
    <x v="51"/>
    <s v="F"/>
    <x v="0"/>
    <x v="1"/>
    <x v="0"/>
    <x v="23"/>
    <x v="1"/>
    <x v="8"/>
    <x v="2"/>
  </r>
  <r>
    <x v="1415"/>
    <x v="6"/>
    <x v="5"/>
    <n v="66.400000000000006"/>
    <n v="730.40000000000009"/>
    <x v="53"/>
    <x v="51"/>
    <s v="F"/>
    <x v="0"/>
    <x v="0"/>
    <x v="0"/>
    <x v="6"/>
    <x v="1"/>
    <x v="8"/>
    <x v="2"/>
  </r>
  <r>
    <x v="1416"/>
    <x v="9"/>
    <x v="4"/>
    <n v="68.099999999999994"/>
    <n v="817.19999999999993"/>
    <x v="53"/>
    <x v="54"/>
    <s v="F"/>
    <x v="2"/>
    <x v="0"/>
    <x v="0"/>
    <x v="8"/>
    <x v="3"/>
    <x v="8"/>
    <x v="2"/>
  </r>
  <r>
    <x v="1417"/>
    <x v="8"/>
    <x v="9"/>
    <n v="32.5"/>
    <n v="162.5"/>
    <x v="53"/>
    <x v="53"/>
    <s v="M"/>
    <x v="2"/>
    <x v="1"/>
    <x v="0"/>
    <x v="8"/>
    <x v="5"/>
    <x v="8"/>
    <x v="1"/>
  </r>
  <r>
    <x v="1418"/>
    <x v="15"/>
    <x v="2"/>
    <n v="61.2"/>
    <n v="183.60000000000002"/>
    <x v="53"/>
    <x v="51"/>
    <s v="F"/>
    <x v="1"/>
    <x v="1"/>
    <x v="0"/>
    <x v="8"/>
    <x v="1"/>
    <x v="8"/>
    <x v="2"/>
  </r>
  <r>
    <x v="1419"/>
    <x v="9"/>
    <x v="1"/>
    <n v="54.2"/>
    <n v="108.4"/>
    <x v="53"/>
    <x v="54"/>
    <s v="F"/>
    <x v="1"/>
    <x v="0"/>
    <x v="0"/>
    <x v="8"/>
    <x v="3"/>
    <x v="8"/>
    <x v="2"/>
  </r>
  <r>
    <x v="1420"/>
    <x v="11"/>
    <x v="8"/>
    <n v="28.7"/>
    <n v="229.6"/>
    <x v="53"/>
    <x v="51"/>
    <s v="M"/>
    <x v="1"/>
    <x v="0"/>
    <x v="0"/>
    <x v="9"/>
    <x v="1"/>
    <x v="8"/>
    <x v="1"/>
  </r>
  <r>
    <x v="1421"/>
    <x v="12"/>
    <x v="13"/>
    <n v="38.200000000000003"/>
    <n v="229.20000000000002"/>
    <x v="53"/>
    <x v="53"/>
    <s v="F"/>
    <x v="0"/>
    <x v="1"/>
    <x v="0"/>
    <x v="9"/>
    <x v="5"/>
    <x v="8"/>
    <x v="2"/>
  </r>
  <r>
    <x v="1422"/>
    <x v="8"/>
    <x v="4"/>
    <n v="17.600000000000001"/>
    <n v="211.20000000000002"/>
    <x v="53"/>
    <x v="54"/>
    <s v="F"/>
    <x v="2"/>
    <x v="1"/>
    <x v="0"/>
    <x v="9"/>
    <x v="3"/>
    <x v="8"/>
    <x v="2"/>
  </r>
  <r>
    <x v="1423"/>
    <x v="10"/>
    <x v="2"/>
    <n v="74.599999999999994"/>
    <n v="223.79999999999998"/>
    <x v="53"/>
    <x v="55"/>
    <s v="F"/>
    <x v="2"/>
    <x v="0"/>
    <x v="0"/>
    <x v="11"/>
    <x v="7"/>
    <x v="8"/>
    <x v="2"/>
  </r>
  <r>
    <x v="1424"/>
    <x v="16"/>
    <x v="20"/>
    <n v="72.599999999999994"/>
    <n v="1089"/>
    <x v="53"/>
    <x v="55"/>
    <s v=""/>
    <x v="1"/>
    <x v="1"/>
    <x v="0"/>
    <x v="11"/>
    <x v="7"/>
    <x v="8"/>
    <x v="0"/>
  </r>
  <r>
    <x v="1425"/>
    <x v="7"/>
    <x v="0"/>
    <n v="62.3"/>
    <n v="62.3"/>
    <x v="53"/>
    <x v="54"/>
    <s v="F"/>
    <x v="1"/>
    <x v="0"/>
    <x v="0"/>
    <x v="11"/>
    <x v="3"/>
    <x v="8"/>
    <x v="2"/>
  </r>
  <r>
    <x v="1426"/>
    <x v="3"/>
    <x v="2"/>
    <n v="33.799999999999997"/>
    <n v="101.39999999999999"/>
    <x v="53"/>
    <x v="51"/>
    <s v="M"/>
    <x v="0"/>
    <x v="2"/>
    <x v="0"/>
    <x v="20"/>
    <x v="1"/>
    <x v="8"/>
    <x v="1"/>
  </r>
  <r>
    <x v="1427"/>
    <x v="9"/>
    <x v="0"/>
    <n v="85.7"/>
    <n v="85.7"/>
    <x v="53"/>
    <x v="52"/>
    <s v="M"/>
    <x v="3"/>
    <x v="1"/>
    <x v="0"/>
    <x v="21"/>
    <x v="2"/>
    <x v="8"/>
    <x v="1"/>
  </r>
  <r>
    <x v="1428"/>
    <x v="6"/>
    <x v="1"/>
    <n v="92.1"/>
    <n v="184.2"/>
    <x v="53"/>
    <x v="51"/>
    <s v="M"/>
    <x v="1"/>
    <x v="0"/>
    <x v="0"/>
    <x v="21"/>
    <x v="1"/>
    <x v="8"/>
    <x v="1"/>
  </r>
  <r>
    <x v="1429"/>
    <x v="16"/>
    <x v="2"/>
    <n v="65.099999999999994"/>
    <n v="195.29999999999998"/>
    <x v="53"/>
    <x v="52"/>
    <s v="M"/>
    <x v="0"/>
    <x v="0"/>
    <x v="0"/>
    <x v="1"/>
    <x v="2"/>
    <x v="8"/>
    <x v="1"/>
  </r>
  <r>
    <x v="1430"/>
    <x v="9"/>
    <x v="3"/>
    <n v="20.3"/>
    <n v="142.1"/>
    <x v="53"/>
    <x v="54"/>
    <s v="F"/>
    <x v="2"/>
    <x v="2"/>
    <x v="0"/>
    <x v="2"/>
    <x v="3"/>
    <x v="8"/>
    <x v="2"/>
  </r>
  <r>
    <x v="1431"/>
    <x v="19"/>
    <x v="1"/>
    <n v="29.8"/>
    <n v="59.6"/>
    <x v="53"/>
    <x v="51"/>
    <s v="F"/>
    <x v="1"/>
    <x v="2"/>
    <x v="0"/>
    <x v="34"/>
    <x v="1"/>
    <x v="8"/>
    <x v="2"/>
  </r>
  <r>
    <x v="1432"/>
    <x v="0"/>
    <x v="1"/>
    <n v="24.2"/>
    <n v="48.4"/>
    <x v="53"/>
    <x v="51"/>
    <s v="F"/>
    <x v="3"/>
    <x v="2"/>
    <x v="0"/>
    <x v="3"/>
    <x v="1"/>
    <x v="8"/>
    <x v="2"/>
  </r>
  <r>
    <x v="1433"/>
    <x v="3"/>
    <x v="0"/>
    <n v="57.3"/>
    <n v="57.3"/>
    <x v="53"/>
    <x v="51"/>
    <s v="M"/>
    <x v="0"/>
    <x v="0"/>
    <x v="0"/>
    <x v="3"/>
    <x v="1"/>
    <x v="8"/>
    <x v="1"/>
  </r>
  <r>
    <x v="1434"/>
    <x v="2"/>
    <x v="0"/>
    <n v="108.9"/>
    <n v="108.9"/>
    <x v="53"/>
    <x v="51"/>
    <s v="F"/>
    <x v="1"/>
    <x v="0"/>
    <x v="0"/>
    <x v="3"/>
    <x v="1"/>
    <x v="8"/>
    <x v="2"/>
  </r>
  <r>
    <x v="1435"/>
    <x v="7"/>
    <x v="9"/>
    <n v="50.7"/>
    <n v="253.5"/>
    <x v="53"/>
    <x v="54"/>
    <s v="F"/>
    <x v="0"/>
    <x v="0"/>
    <x v="0"/>
    <x v="3"/>
    <x v="3"/>
    <x v="8"/>
    <x v="2"/>
  </r>
  <r>
    <x v="1436"/>
    <x v="7"/>
    <x v="11"/>
    <n v="66.099999999999994"/>
    <n v="594.9"/>
    <x v="53"/>
    <x v="60"/>
    <s v="F"/>
    <x v="1"/>
    <x v="0"/>
    <x v="0"/>
    <x v="3"/>
    <x v="12"/>
    <x v="8"/>
    <x v="2"/>
  </r>
  <r>
    <x v="1437"/>
    <x v="12"/>
    <x v="9"/>
    <n v="36.700000000000003"/>
    <n v="183.5"/>
    <x v="53"/>
    <x v="53"/>
    <s v="F"/>
    <x v="4"/>
    <x v="0"/>
    <x v="0"/>
    <x v="3"/>
    <x v="5"/>
    <x v="8"/>
    <x v="2"/>
  </r>
  <r>
    <x v="1438"/>
    <x v="8"/>
    <x v="14"/>
    <n v="19.3"/>
    <n v="328.1"/>
    <x v="53"/>
    <x v="51"/>
    <s v="M"/>
    <x v="0"/>
    <x v="0"/>
    <x v="0"/>
    <x v="43"/>
    <x v="1"/>
    <x v="8"/>
    <x v="1"/>
  </r>
  <r>
    <x v="1439"/>
    <x v="8"/>
    <x v="12"/>
    <n v="20.7"/>
    <n v="82.8"/>
    <x v="53"/>
    <x v="54"/>
    <s v="M"/>
    <x v="1"/>
    <x v="2"/>
    <x v="0"/>
    <x v="6"/>
    <x v="3"/>
    <x v="8"/>
    <x v="1"/>
  </r>
  <r>
    <x v="1440"/>
    <x v="5"/>
    <x v="2"/>
    <n v="54.7"/>
    <n v="164.10000000000002"/>
    <x v="53"/>
    <x v="55"/>
    <s v="O"/>
    <x v="1"/>
    <x v="4"/>
    <x v="0"/>
    <x v="6"/>
    <x v="7"/>
    <x v="8"/>
    <x v="3"/>
  </r>
  <r>
    <x v="1441"/>
    <x v="4"/>
    <x v="1"/>
    <n v="19.8"/>
    <n v="39.6"/>
    <x v="53"/>
    <x v="53"/>
    <s v="F"/>
    <x v="4"/>
    <x v="1"/>
    <x v="0"/>
    <x v="8"/>
    <x v="5"/>
    <x v="8"/>
    <x v="2"/>
  </r>
  <r>
    <x v="1442"/>
    <x v="7"/>
    <x v="0"/>
    <n v="41.1"/>
    <n v="41.1"/>
    <x v="53"/>
    <x v="51"/>
    <s v="F"/>
    <x v="0"/>
    <x v="2"/>
    <x v="0"/>
    <x v="8"/>
    <x v="1"/>
    <x v="8"/>
    <x v="2"/>
  </r>
  <r>
    <x v="1443"/>
    <x v="11"/>
    <x v="8"/>
    <n v="43.5"/>
    <n v="348"/>
    <x v="53"/>
    <x v="53"/>
    <s v="F"/>
    <x v="3"/>
    <x v="0"/>
    <x v="0"/>
    <x v="8"/>
    <x v="5"/>
    <x v="8"/>
    <x v="2"/>
  </r>
  <r>
    <x v="1444"/>
    <x v="8"/>
    <x v="21"/>
    <n v="19"/>
    <n v="266"/>
    <x v="53"/>
    <x v="54"/>
    <s v="M"/>
    <x v="0"/>
    <x v="0"/>
    <x v="0"/>
    <x v="26"/>
    <x v="3"/>
    <x v="8"/>
    <x v="1"/>
  </r>
  <r>
    <x v="1445"/>
    <x v="2"/>
    <x v="12"/>
    <n v="51.4"/>
    <n v="205.6"/>
    <x v="53"/>
    <x v="55"/>
    <s v="F"/>
    <x v="0"/>
    <x v="0"/>
    <x v="0"/>
    <x v="26"/>
    <x v="7"/>
    <x v="8"/>
    <x v="2"/>
  </r>
  <r>
    <x v="1446"/>
    <x v="10"/>
    <x v="1"/>
    <n v="39.799999999999997"/>
    <n v="79.599999999999994"/>
    <x v="53"/>
    <x v="52"/>
    <s v="M"/>
    <x v="3"/>
    <x v="1"/>
    <x v="0"/>
    <x v="13"/>
    <x v="2"/>
    <x v="8"/>
    <x v="1"/>
  </r>
  <r>
    <x v="1447"/>
    <x v="6"/>
    <x v="9"/>
    <n v="61"/>
    <n v="305"/>
    <x v="53"/>
    <x v="54"/>
    <s v=""/>
    <x v="0"/>
    <x v="2"/>
    <x v="0"/>
    <x v="21"/>
    <x v="3"/>
    <x v="8"/>
    <x v="0"/>
  </r>
  <r>
    <x v="1448"/>
    <x v="8"/>
    <x v="5"/>
    <n v="15.1"/>
    <n v="166.1"/>
    <x v="54"/>
    <x v="59"/>
    <s v="M"/>
    <x v="3"/>
    <x v="2"/>
    <x v="0"/>
    <x v="2"/>
    <x v="0"/>
    <x v="8"/>
    <x v="1"/>
  </r>
  <r>
    <x v="1449"/>
    <x v="1"/>
    <x v="3"/>
    <n v="71.3"/>
    <n v="499.09999999999997"/>
    <x v="54"/>
    <x v="51"/>
    <s v="M"/>
    <x v="4"/>
    <x v="0"/>
    <x v="0"/>
    <x v="3"/>
    <x v="3"/>
    <x v="8"/>
    <x v="1"/>
  </r>
  <r>
    <x v="1450"/>
    <x v="10"/>
    <x v="0"/>
    <n v="25.8"/>
    <n v="25.8"/>
    <x v="54"/>
    <x v="52"/>
    <s v="F"/>
    <x v="0"/>
    <x v="2"/>
    <x v="0"/>
    <x v="3"/>
    <x v="1"/>
    <x v="8"/>
    <x v="2"/>
  </r>
  <r>
    <x v="1451"/>
    <x v="8"/>
    <x v="9"/>
    <n v="39.6"/>
    <n v="198"/>
    <x v="54"/>
    <x v="52"/>
    <s v="M"/>
    <x v="1"/>
    <x v="2"/>
    <x v="0"/>
    <x v="3"/>
    <x v="1"/>
    <x v="8"/>
    <x v="1"/>
  </r>
  <r>
    <x v="1452"/>
    <x v="5"/>
    <x v="1"/>
    <n v="64"/>
    <n v="128"/>
    <x v="54"/>
    <x v="54"/>
    <s v="M"/>
    <x v="1"/>
    <x v="1"/>
    <x v="0"/>
    <x v="3"/>
    <x v="7"/>
    <x v="8"/>
    <x v="1"/>
  </r>
  <r>
    <x v="1453"/>
    <x v="8"/>
    <x v="1"/>
    <n v="30.6"/>
    <n v="61.2"/>
    <x v="54"/>
    <x v="53"/>
    <s v="M"/>
    <x v="0"/>
    <x v="2"/>
    <x v="0"/>
    <x v="3"/>
    <x v="2"/>
    <x v="8"/>
    <x v="1"/>
  </r>
  <r>
    <x v="1454"/>
    <x v="8"/>
    <x v="1"/>
    <n v="21.3"/>
    <n v="42.6"/>
    <x v="54"/>
    <x v="51"/>
    <s v="M"/>
    <x v="0"/>
    <x v="1"/>
    <x v="0"/>
    <x v="3"/>
    <x v="3"/>
    <x v="8"/>
    <x v="1"/>
  </r>
  <r>
    <x v="1455"/>
    <x v="7"/>
    <x v="0"/>
    <n v="40.799999999999997"/>
    <n v="40.799999999999997"/>
    <x v="54"/>
    <x v="52"/>
    <s v="F"/>
    <x v="4"/>
    <x v="0"/>
    <x v="0"/>
    <x v="3"/>
    <x v="1"/>
    <x v="8"/>
    <x v="2"/>
  </r>
  <r>
    <x v="1456"/>
    <x v="9"/>
    <x v="12"/>
    <n v="27.7"/>
    <n v="110.8"/>
    <x v="54"/>
    <x v="51"/>
    <s v="F"/>
    <x v="0"/>
    <x v="1"/>
    <x v="0"/>
    <x v="3"/>
    <x v="3"/>
    <x v="8"/>
    <x v="2"/>
  </r>
  <r>
    <x v="1457"/>
    <x v="6"/>
    <x v="1"/>
    <n v="64.599999999999994"/>
    <n v="129.19999999999999"/>
    <x v="54"/>
    <x v="51"/>
    <s v="M"/>
    <x v="0"/>
    <x v="1"/>
    <x v="0"/>
    <x v="3"/>
    <x v="3"/>
    <x v="8"/>
    <x v="1"/>
  </r>
  <r>
    <x v="1458"/>
    <x v="6"/>
    <x v="27"/>
    <n v="91.1"/>
    <n v="1457.6"/>
    <x v="54"/>
    <x v="51"/>
    <s v="F"/>
    <x v="1"/>
    <x v="2"/>
    <x v="0"/>
    <x v="3"/>
    <x v="3"/>
    <x v="8"/>
    <x v="2"/>
  </r>
  <r>
    <x v="1459"/>
    <x v="1"/>
    <x v="0"/>
    <n v="39.5"/>
    <n v="39.5"/>
    <x v="54"/>
    <x v="61"/>
    <s v="F"/>
    <x v="0"/>
    <x v="0"/>
    <x v="0"/>
    <x v="3"/>
    <x v="9"/>
    <x v="8"/>
    <x v="2"/>
  </r>
  <r>
    <x v="1460"/>
    <x v="9"/>
    <x v="1"/>
    <n v="21.8"/>
    <n v="43.6"/>
    <x v="54"/>
    <x v="58"/>
    <s v="M"/>
    <x v="4"/>
    <x v="2"/>
    <x v="0"/>
    <x v="3"/>
    <x v="5"/>
    <x v="8"/>
    <x v="1"/>
  </r>
  <r>
    <x v="1461"/>
    <x v="8"/>
    <x v="1"/>
    <n v="51"/>
    <n v="102"/>
    <x v="54"/>
    <x v="53"/>
    <s v="M"/>
    <x v="3"/>
    <x v="2"/>
    <x v="0"/>
    <x v="3"/>
    <x v="2"/>
    <x v="8"/>
    <x v="1"/>
  </r>
  <r>
    <x v="1462"/>
    <x v="2"/>
    <x v="0"/>
    <n v="92.6"/>
    <n v="92.6"/>
    <x v="54"/>
    <x v="53"/>
    <s v="F"/>
    <x v="0"/>
    <x v="2"/>
    <x v="0"/>
    <x v="35"/>
    <x v="2"/>
    <x v="8"/>
    <x v="2"/>
  </r>
  <r>
    <x v="1463"/>
    <x v="9"/>
    <x v="1"/>
    <n v="31.1"/>
    <n v="62.2"/>
    <x v="54"/>
    <x v="59"/>
    <s v=""/>
    <x v="1"/>
    <x v="3"/>
    <x v="0"/>
    <x v="23"/>
    <x v="0"/>
    <x v="8"/>
    <x v="0"/>
  </r>
  <r>
    <x v="1464"/>
    <x v="5"/>
    <x v="2"/>
    <n v="56.4"/>
    <n v="169.2"/>
    <x v="54"/>
    <x v="51"/>
    <s v=""/>
    <x v="1"/>
    <x v="0"/>
    <x v="0"/>
    <x v="6"/>
    <x v="3"/>
    <x v="8"/>
    <x v="0"/>
  </r>
  <r>
    <x v="1465"/>
    <x v="9"/>
    <x v="0"/>
    <n v="41.9"/>
    <n v="41.9"/>
    <x v="54"/>
    <x v="54"/>
    <s v="M"/>
    <x v="1"/>
    <x v="0"/>
    <x v="0"/>
    <x v="6"/>
    <x v="7"/>
    <x v="8"/>
    <x v="1"/>
  </r>
  <r>
    <x v="1466"/>
    <x v="10"/>
    <x v="3"/>
    <n v="45.9"/>
    <n v="321.3"/>
    <x v="54"/>
    <x v="51"/>
    <s v="M"/>
    <x v="3"/>
    <x v="2"/>
    <x v="0"/>
    <x v="8"/>
    <x v="3"/>
    <x v="8"/>
    <x v="1"/>
  </r>
  <r>
    <x v="1467"/>
    <x v="14"/>
    <x v="11"/>
    <n v="24.4"/>
    <n v="219.6"/>
    <x v="54"/>
    <x v="58"/>
    <s v="M"/>
    <x v="3"/>
    <x v="2"/>
    <x v="0"/>
    <x v="8"/>
    <x v="5"/>
    <x v="8"/>
    <x v="1"/>
  </r>
  <r>
    <x v="1468"/>
    <x v="8"/>
    <x v="0"/>
    <n v="18.2"/>
    <n v="18.2"/>
    <x v="54"/>
    <x v="51"/>
    <s v="F"/>
    <x v="2"/>
    <x v="2"/>
    <x v="0"/>
    <x v="8"/>
    <x v="3"/>
    <x v="8"/>
    <x v="2"/>
  </r>
  <r>
    <x v="1469"/>
    <x v="8"/>
    <x v="12"/>
    <n v="51.2"/>
    <n v="204.8"/>
    <x v="54"/>
    <x v="51"/>
    <s v="F"/>
    <x v="0"/>
    <x v="0"/>
    <x v="0"/>
    <x v="8"/>
    <x v="3"/>
    <x v="8"/>
    <x v="2"/>
  </r>
  <r>
    <x v="1470"/>
    <x v="6"/>
    <x v="0"/>
    <n v="59.7"/>
    <n v="59.7"/>
    <x v="54"/>
    <x v="53"/>
    <s v="M"/>
    <x v="0"/>
    <x v="2"/>
    <x v="0"/>
    <x v="8"/>
    <x v="2"/>
    <x v="8"/>
    <x v="1"/>
  </r>
  <r>
    <x v="1471"/>
    <x v="4"/>
    <x v="1"/>
    <n v="33.6"/>
    <n v="67.2"/>
    <x v="54"/>
    <x v="52"/>
    <s v="F"/>
    <x v="0"/>
    <x v="0"/>
    <x v="0"/>
    <x v="17"/>
    <x v="1"/>
    <x v="8"/>
    <x v="2"/>
  </r>
  <r>
    <x v="1472"/>
    <x v="12"/>
    <x v="0"/>
    <n v="90.4"/>
    <n v="90.4"/>
    <x v="54"/>
    <x v="58"/>
    <s v="M"/>
    <x v="1"/>
    <x v="2"/>
    <x v="0"/>
    <x v="10"/>
    <x v="5"/>
    <x v="8"/>
    <x v="1"/>
  </r>
  <r>
    <x v="1473"/>
    <x v="11"/>
    <x v="2"/>
    <n v="70.3"/>
    <n v="210.89999999999998"/>
    <x v="54"/>
    <x v="54"/>
    <s v="M"/>
    <x v="1"/>
    <x v="2"/>
    <x v="0"/>
    <x v="11"/>
    <x v="7"/>
    <x v="8"/>
    <x v="1"/>
  </r>
  <r>
    <x v="1474"/>
    <x v="4"/>
    <x v="1"/>
    <n v="20.5"/>
    <n v="41"/>
    <x v="54"/>
    <x v="53"/>
    <s v="F"/>
    <x v="0"/>
    <x v="1"/>
    <x v="0"/>
    <x v="11"/>
    <x v="2"/>
    <x v="8"/>
    <x v="2"/>
  </r>
  <r>
    <x v="1475"/>
    <x v="5"/>
    <x v="5"/>
    <n v="37.6"/>
    <n v="413.6"/>
    <x v="54"/>
    <x v="51"/>
    <s v="M"/>
    <x v="0"/>
    <x v="0"/>
    <x v="0"/>
    <x v="38"/>
    <x v="3"/>
    <x v="8"/>
    <x v="1"/>
  </r>
  <r>
    <x v="1476"/>
    <x v="5"/>
    <x v="12"/>
    <n v="61.5"/>
    <n v="246"/>
    <x v="54"/>
    <x v="62"/>
    <s v="F"/>
    <x v="1"/>
    <x v="4"/>
    <x v="0"/>
    <x v="13"/>
    <x v="6"/>
    <x v="8"/>
    <x v="2"/>
  </r>
  <r>
    <x v="1477"/>
    <x v="9"/>
    <x v="0"/>
    <n v="33.5"/>
    <n v="33.5"/>
    <x v="55"/>
    <x v="59"/>
    <s v="M"/>
    <x v="4"/>
    <x v="1"/>
    <x v="0"/>
    <x v="21"/>
    <x v="5"/>
    <x v="8"/>
    <x v="1"/>
  </r>
  <r>
    <x v="1478"/>
    <x v="4"/>
    <x v="2"/>
    <n v="29.3"/>
    <n v="87.9"/>
    <x v="55"/>
    <x v="53"/>
    <s v="F"/>
    <x v="1"/>
    <x v="2"/>
    <x v="0"/>
    <x v="1"/>
    <x v="1"/>
    <x v="8"/>
    <x v="2"/>
  </r>
  <r>
    <x v="1479"/>
    <x v="2"/>
    <x v="1"/>
    <n v="125.9"/>
    <n v="251.8"/>
    <x v="55"/>
    <x v="57"/>
    <s v="F"/>
    <x v="4"/>
    <x v="1"/>
    <x v="0"/>
    <x v="1"/>
    <x v="0"/>
    <x v="8"/>
    <x v="2"/>
  </r>
  <r>
    <x v="1480"/>
    <x v="5"/>
    <x v="9"/>
    <n v="29.3"/>
    <n v="146.5"/>
    <x v="55"/>
    <x v="51"/>
    <s v="M"/>
    <x v="2"/>
    <x v="0"/>
    <x v="0"/>
    <x v="44"/>
    <x v="7"/>
    <x v="8"/>
    <x v="1"/>
  </r>
  <r>
    <x v="1481"/>
    <x v="9"/>
    <x v="0"/>
    <n v="37.799999999999997"/>
    <n v="37.799999999999997"/>
    <x v="55"/>
    <x v="58"/>
    <s v="F"/>
    <x v="0"/>
    <x v="2"/>
    <x v="0"/>
    <x v="3"/>
    <x v="2"/>
    <x v="8"/>
    <x v="2"/>
  </r>
  <r>
    <x v="1482"/>
    <x v="0"/>
    <x v="12"/>
    <n v="31.7"/>
    <n v="126.8"/>
    <x v="55"/>
    <x v="52"/>
    <s v="M"/>
    <x v="2"/>
    <x v="2"/>
    <x v="0"/>
    <x v="3"/>
    <x v="3"/>
    <x v="8"/>
    <x v="1"/>
  </r>
  <r>
    <x v="1483"/>
    <x v="8"/>
    <x v="9"/>
    <n v="26.3"/>
    <n v="131.5"/>
    <x v="55"/>
    <x v="52"/>
    <s v="F"/>
    <x v="3"/>
    <x v="2"/>
    <x v="0"/>
    <x v="3"/>
    <x v="3"/>
    <x v="8"/>
    <x v="2"/>
  </r>
  <r>
    <x v="1484"/>
    <x v="8"/>
    <x v="2"/>
    <n v="23.1"/>
    <n v="69.300000000000011"/>
    <x v="55"/>
    <x v="52"/>
    <s v="O"/>
    <x v="2"/>
    <x v="1"/>
    <x v="0"/>
    <x v="3"/>
    <x v="3"/>
    <x v="8"/>
    <x v="3"/>
  </r>
  <r>
    <x v="1485"/>
    <x v="4"/>
    <x v="0"/>
    <n v="22.3"/>
    <n v="22.3"/>
    <x v="55"/>
    <x v="53"/>
    <s v="F"/>
    <x v="2"/>
    <x v="0"/>
    <x v="0"/>
    <x v="3"/>
    <x v="1"/>
    <x v="8"/>
    <x v="2"/>
  </r>
  <r>
    <x v="1486"/>
    <x v="12"/>
    <x v="1"/>
    <n v="99.5"/>
    <n v="199"/>
    <x v="55"/>
    <x v="53"/>
    <s v="F"/>
    <x v="2"/>
    <x v="0"/>
    <x v="0"/>
    <x v="3"/>
    <x v="1"/>
    <x v="8"/>
    <x v="2"/>
  </r>
  <r>
    <x v="1487"/>
    <x v="12"/>
    <x v="12"/>
    <n v="47.4"/>
    <n v="189.6"/>
    <x v="55"/>
    <x v="58"/>
    <s v="F"/>
    <x v="1"/>
    <x v="0"/>
    <x v="0"/>
    <x v="3"/>
    <x v="2"/>
    <x v="8"/>
    <x v="2"/>
  </r>
  <r>
    <x v="1488"/>
    <x v="0"/>
    <x v="5"/>
    <n v="37.5"/>
    <n v="412.5"/>
    <x v="55"/>
    <x v="53"/>
    <s v="F"/>
    <x v="0"/>
    <x v="3"/>
    <x v="0"/>
    <x v="3"/>
    <x v="1"/>
    <x v="8"/>
    <x v="2"/>
  </r>
  <r>
    <x v="1489"/>
    <x v="10"/>
    <x v="0"/>
    <n v="45.1"/>
    <n v="45.1"/>
    <x v="55"/>
    <x v="57"/>
    <s v="M"/>
    <x v="3"/>
    <x v="2"/>
    <x v="0"/>
    <x v="24"/>
    <x v="0"/>
    <x v="8"/>
    <x v="1"/>
  </r>
  <r>
    <x v="1490"/>
    <x v="5"/>
    <x v="7"/>
    <n v="34.4"/>
    <n v="344"/>
    <x v="55"/>
    <x v="58"/>
    <s v="M"/>
    <x v="2"/>
    <x v="0"/>
    <x v="0"/>
    <x v="16"/>
    <x v="2"/>
    <x v="8"/>
    <x v="1"/>
  </r>
  <r>
    <x v="1491"/>
    <x v="4"/>
    <x v="1"/>
    <n v="38"/>
    <n v="76"/>
    <x v="55"/>
    <x v="53"/>
    <s v="F"/>
    <x v="1"/>
    <x v="0"/>
    <x v="0"/>
    <x v="5"/>
    <x v="1"/>
    <x v="8"/>
    <x v="2"/>
  </r>
  <r>
    <x v="1492"/>
    <x v="3"/>
    <x v="21"/>
    <n v="32.4"/>
    <n v="453.59999999999997"/>
    <x v="55"/>
    <x v="58"/>
    <s v="M"/>
    <x v="4"/>
    <x v="0"/>
    <x v="0"/>
    <x v="6"/>
    <x v="2"/>
    <x v="8"/>
    <x v="1"/>
  </r>
  <r>
    <x v="1493"/>
    <x v="6"/>
    <x v="2"/>
    <n v="40.9"/>
    <n v="122.69999999999999"/>
    <x v="55"/>
    <x v="51"/>
    <s v=""/>
    <x v="1"/>
    <x v="0"/>
    <x v="0"/>
    <x v="8"/>
    <x v="7"/>
    <x v="8"/>
    <x v="0"/>
  </r>
  <r>
    <x v="1494"/>
    <x v="7"/>
    <x v="3"/>
    <n v="76.2"/>
    <n v="533.4"/>
    <x v="55"/>
    <x v="53"/>
    <s v="F"/>
    <x v="2"/>
    <x v="1"/>
    <x v="0"/>
    <x v="8"/>
    <x v="1"/>
    <x v="8"/>
    <x v="2"/>
  </r>
  <r>
    <x v="1495"/>
    <x v="2"/>
    <x v="0"/>
    <n v="85.6"/>
    <n v="85.6"/>
    <x v="55"/>
    <x v="53"/>
    <s v="M"/>
    <x v="2"/>
    <x v="0"/>
    <x v="0"/>
    <x v="8"/>
    <x v="1"/>
    <x v="8"/>
    <x v="1"/>
  </r>
  <r>
    <x v="1496"/>
    <x v="4"/>
    <x v="12"/>
    <n v="25"/>
    <n v="100"/>
    <x v="55"/>
    <x v="53"/>
    <s v="F"/>
    <x v="2"/>
    <x v="2"/>
    <x v="0"/>
    <x v="8"/>
    <x v="1"/>
    <x v="8"/>
    <x v="2"/>
  </r>
  <r>
    <x v="1497"/>
    <x v="2"/>
    <x v="9"/>
    <n v="150.69999999999999"/>
    <n v="753.5"/>
    <x v="55"/>
    <x v="52"/>
    <s v=""/>
    <x v="0"/>
    <x v="2"/>
    <x v="0"/>
    <x v="8"/>
    <x v="3"/>
    <x v="8"/>
    <x v="0"/>
  </r>
  <r>
    <x v="1498"/>
    <x v="8"/>
    <x v="0"/>
    <n v="19.600000000000001"/>
    <n v="19.600000000000001"/>
    <x v="55"/>
    <x v="52"/>
    <s v="M"/>
    <x v="1"/>
    <x v="4"/>
    <x v="0"/>
    <x v="8"/>
    <x v="3"/>
    <x v="8"/>
    <x v="1"/>
  </r>
  <r>
    <x v="1499"/>
    <x v="13"/>
    <x v="1"/>
    <n v="37.5"/>
    <n v="75"/>
    <x v="55"/>
    <x v="58"/>
    <s v="F"/>
    <x v="1"/>
    <x v="2"/>
    <x v="0"/>
    <x v="17"/>
    <x v="2"/>
    <x v="8"/>
    <x v="2"/>
  </r>
  <r>
    <x v="1500"/>
    <x v="9"/>
    <x v="2"/>
    <n v="51.9"/>
    <n v="155.69999999999999"/>
    <x v="55"/>
    <x v="62"/>
    <s v="F"/>
    <x v="0"/>
    <x v="4"/>
    <x v="0"/>
    <x v="11"/>
    <x v="4"/>
    <x v="8"/>
    <x v="2"/>
  </r>
  <r>
    <x v="1501"/>
    <x v="1"/>
    <x v="1"/>
    <n v="30.9"/>
    <n v="61.8"/>
    <x v="55"/>
    <x v="53"/>
    <s v="F"/>
    <x v="1"/>
    <x v="0"/>
    <x v="0"/>
    <x v="18"/>
    <x v="1"/>
    <x v="8"/>
    <x v="2"/>
  </r>
  <r>
    <x v="1502"/>
    <x v="4"/>
    <x v="2"/>
    <n v="21.2"/>
    <n v="63.599999999999994"/>
    <x v="55"/>
    <x v="58"/>
    <s v="F"/>
    <x v="1"/>
    <x v="0"/>
    <x v="0"/>
    <x v="19"/>
    <x v="2"/>
    <x v="8"/>
    <x v="2"/>
  </r>
  <r>
    <x v="1503"/>
    <x v="13"/>
    <x v="14"/>
    <n v="17.5"/>
    <n v="297.5"/>
    <x v="55"/>
    <x v="52"/>
    <s v="M"/>
    <x v="1"/>
    <x v="1"/>
    <x v="0"/>
    <x v="13"/>
    <x v="3"/>
    <x v="8"/>
    <x v="1"/>
  </r>
  <r>
    <x v="1504"/>
    <x v="12"/>
    <x v="1"/>
    <n v="53.8"/>
    <n v="107.6"/>
    <x v="55"/>
    <x v="57"/>
    <s v="F"/>
    <x v="0"/>
    <x v="2"/>
    <x v="0"/>
    <x v="21"/>
    <x v="0"/>
    <x v="8"/>
    <x v="2"/>
  </r>
  <r>
    <x v="1505"/>
    <x v="19"/>
    <x v="1"/>
    <n v="17"/>
    <n v="34"/>
    <x v="55"/>
    <x v="52"/>
    <s v="M"/>
    <x v="3"/>
    <x v="0"/>
    <x v="0"/>
    <x v="21"/>
    <x v="3"/>
    <x v="8"/>
    <x v="1"/>
  </r>
  <r>
    <x v="1506"/>
    <x v="6"/>
    <x v="0"/>
    <n v="103.2"/>
    <n v="103.2"/>
    <x v="55"/>
    <x v="63"/>
    <s v="M"/>
    <x v="2"/>
    <x v="1"/>
    <x v="0"/>
    <x v="1"/>
    <x v="9"/>
    <x v="8"/>
    <x v="1"/>
  </r>
  <r>
    <x v="1507"/>
    <x v="6"/>
    <x v="12"/>
    <n v="70.3"/>
    <n v="281.2"/>
    <x v="55"/>
    <x v="52"/>
    <s v="M"/>
    <x v="0"/>
    <x v="0"/>
    <x v="0"/>
    <x v="3"/>
    <x v="3"/>
    <x v="8"/>
    <x v="1"/>
  </r>
  <r>
    <x v="1508"/>
    <x v="2"/>
    <x v="1"/>
    <n v="73.8"/>
    <n v="147.6"/>
    <x v="55"/>
    <x v="51"/>
    <s v="M"/>
    <x v="3"/>
    <x v="2"/>
    <x v="0"/>
    <x v="3"/>
    <x v="7"/>
    <x v="8"/>
    <x v="1"/>
  </r>
  <r>
    <x v="1509"/>
    <x v="1"/>
    <x v="4"/>
    <n v="67.7"/>
    <n v="812.40000000000009"/>
    <x v="55"/>
    <x v="59"/>
    <s v="M"/>
    <x v="1"/>
    <x v="1"/>
    <x v="0"/>
    <x v="3"/>
    <x v="5"/>
    <x v="8"/>
    <x v="1"/>
  </r>
  <r>
    <x v="1510"/>
    <x v="13"/>
    <x v="3"/>
    <n v="43.8"/>
    <n v="306.59999999999997"/>
    <x v="55"/>
    <x v="53"/>
    <s v="M"/>
    <x v="1"/>
    <x v="0"/>
    <x v="0"/>
    <x v="3"/>
    <x v="1"/>
    <x v="8"/>
    <x v="1"/>
  </r>
  <r>
    <x v="1511"/>
    <x v="17"/>
    <x v="13"/>
    <n v="71.900000000000006"/>
    <n v="431.40000000000003"/>
    <x v="55"/>
    <x v="52"/>
    <s v="F"/>
    <x v="2"/>
    <x v="0"/>
    <x v="0"/>
    <x v="3"/>
    <x v="3"/>
    <x v="8"/>
    <x v="2"/>
  </r>
  <r>
    <x v="1512"/>
    <x v="8"/>
    <x v="1"/>
    <n v="26.3"/>
    <n v="52.6"/>
    <x v="56"/>
    <x v="58"/>
    <s v="F"/>
    <x v="0"/>
    <x v="1"/>
    <x v="0"/>
    <x v="3"/>
    <x v="1"/>
    <x v="8"/>
    <x v="2"/>
  </r>
  <r>
    <x v="1513"/>
    <x v="6"/>
    <x v="12"/>
    <n v="52.6"/>
    <n v="210.4"/>
    <x v="56"/>
    <x v="58"/>
    <s v="F"/>
    <x v="2"/>
    <x v="1"/>
    <x v="0"/>
    <x v="3"/>
    <x v="1"/>
    <x v="8"/>
    <x v="2"/>
  </r>
  <r>
    <x v="1514"/>
    <x v="10"/>
    <x v="0"/>
    <n v="32.700000000000003"/>
    <n v="32.700000000000003"/>
    <x v="56"/>
    <x v="63"/>
    <s v="F"/>
    <x v="0"/>
    <x v="2"/>
    <x v="0"/>
    <x v="3"/>
    <x v="6"/>
    <x v="8"/>
    <x v="2"/>
  </r>
  <r>
    <x v="1515"/>
    <x v="5"/>
    <x v="12"/>
    <n v="38.9"/>
    <n v="155.6"/>
    <x v="56"/>
    <x v="53"/>
    <s v="F"/>
    <x v="0"/>
    <x v="0"/>
    <x v="0"/>
    <x v="3"/>
    <x v="3"/>
    <x v="8"/>
    <x v="2"/>
  </r>
  <r>
    <x v="1516"/>
    <x v="9"/>
    <x v="9"/>
    <n v="35"/>
    <n v="175"/>
    <x v="56"/>
    <x v="58"/>
    <s v="M"/>
    <x v="0"/>
    <x v="0"/>
    <x v="0"/>
    <x v="3"/>
    <x v="1"/>
    <x v="8"/>
    <x v="1"/>
  </r>
  <r>
    <x v="1517"/>
    <x v="2"/>
    <x v="1"/>
    <n v="121"/>
    <n v="242"/>
    <x v="56"/>
    <x v="53"/>
    <s v="F"/>
    <x v="1"/>
    <x v="1"/>
    <x v="0"/>
    <x v="3"/>
    <x v="3"/>
    <x v="8"/>
    <x v="2"/>
  </r>
  <r>
    <x v="1518"/>
    <x v="6"/>
    <x v="2"/>
    <n v="65.099999999999994"/>
    <n v="195.29999999999998"/>
    <x v="56"/>
    <x v="57"/>
    <s v="M"/>
    <x v="2"/>
    <x v="0"/>
    <x v="0"/>
    <x v="36"/>
    <x v="5"/>
    <x v="8"/>
    <x v="1"/>
  </r>
  <r>
    <x v="1519"/>
    <x v="1"/>
    <x v="38"/>
    <n v="63.8"/>
    <n v="1339.8"/>
    <x v="56"/>
    <x v="58"/>
    <s v="F"/>
    <x v="0"/>
    <x v="0"/>
    <x v="0"/>
    <x v="8"/>
    <x v="1"/>
    <x v="8"/>
    <x v="2"/>
  </r>
  <r>
    <x v="1520"/>
    <x v="7"/>
    <x v="0"/>
    <n v="77.7"/>
    <n v="77.7"/>
    <x v="56"/>
    <x v="58"/>
    <s v="M"/>
    <x v="0"/>
    <x v="0"/>
    <x v="0"/>
    <x v="8"/>
    <x v="1"/>
    <x v="8"/>
    <x v="1"/>
  </r>
  <r>
    <x v="1521"/>
    <x v="5"/>
    <x v="12"/>
    <n v="60.3"/>
    <n v="241.2"/>
    <x v="56"/>
    <x v="52"/>
    <s v="M"/>
    <x v="0"/>
    <x v="2"/>
    <x v="0"/>
    <x v="8"/>
    <x v="7"/>
    <x v="8"/>
    <x v="1"/>
  </r>
  <r>
    <x v="1522"/>
    <x v="5"/>
    <x v="1"/>
    <n v="124.1"/>
    <n v="248.2"/>
    <x v="56"/>
    <x v="59"/>
    <s v="F"/>
    <x v="0"/>
    <x v="2"/>
    <x v="0"/>
    <x v="8"/>
    <x v="2"/>
    <x v="8"/>
    <x v="2"/>
  </r>
  <r>
    <x v="1523"/>
    <x v="16"/>
    <x v="3"/>
    <n v="66"/>
    <n v="462"/>
    <x v="56"/>
    <x v="52"/>
    <s v=""/>
    <x v="3"/>
    <x v="0"/>
    <x v="0"/>
    <x v="17"/>
    <x v="7"/>
    <x v="8"/>
    <x v="0"/>
  </r>
  <r>
    <x v="1524"/>
    <x v="2"/>
    <x v="42"/>
    <n v="118.2"/>
    <n v="7446.6"/>
    <x v="56"/>
    <x v="62"/>
    <s v=""/>
    <x v="0"/>
    <x v="0"/>
    <x v="0"/>
    <x v="17"/>
    <x v="0"/>
    <x v="8"/>
    <x v="0"/>
  </r>
  <r>
    <x v="1525"/>
    <x v="5"/>
    <x v="9"/>
    <n v="64.3"/>
    <n v="321.5"/>
    <x v="56"/>
    <x v="53"/>
    <s v="M"/>
    <x v="4"/>
    <x v="4"/>
    <x v="0"/>
    <x v="26"/>
    <x v="3"/>
    <x v="8"/>
    <x v="1"/>
  </r>
  <r>
    <x v="1526"/>
    <x v="1"/>
    <x v="1"/>
    <n v="54.8"/>
    <n v="109.6"/>
    <x v="56"/>
    <x v="52"/>
    <s v="M"/>
    <x v="0"/>
    <x v="1"/>
    <x v="0"/>
    <x v="26"/>
    <x v="7"/>
    <x v="8"/>
    <x v="1"/>
  </r>
  <r>
    <x v="1527"/>
    <x v="7"/>
    <x v="1"/>
    <n v="78.599999999999994"/>
    <n v="157.19999999999999"/>
    <x v="56"/>
    <x v="53"/>
    <s v="M"/>
    <x v="0"/>
    <x v="2"/>
    <x v="0"/>
    <x v="9"/>
    <x v="3"/>
    <x v="8"/>
    <x v="1"/>
  </r>
  <r>
    <x v="1528"/>
    <x v="2"/>
    <x v="9"/>
    <n v="158.5"/>
    <n v="792.5"/>
    <x v="56"/>
    <x v="58"/>
    <s v=""/>
    <x v="2"/>
    <x v="2"/>
    <x v="0"/>
    <x v="9"/>
    <x v="1"/>
    <x v="8"/>
    <x v="0"/>
  </r>
  <r>
    <x v="1529"/>
    <x v="4"/>
    <x v="7"/>
    <n v="23.5"/>
    <n v="235"/>
    <x v="56"/>
    <x v="59"/>
    <s v="M"/>
    <x v="0"/>
    <x v="4"/>
    <x v="0"/>
    <x v="10"/>
    <x v="2"/>
    <x v="8"/>
    <x v="1"/>
  </r>
  <r>
    <x v="1530"/>
    <x v="5"/>
    <x v="1"/>
    <n v="32.1"/>
    <n v="64.2"/>
    <x v="56"/>
    <x v="58"/>
    <s v=""/>
    <x v="3"/>
    <x v="0"/>
    <x v="0"/>
    <x v="10"/>
    <x v="1"/>
    <x v="8"/>
    <x v="0"/>
  </r>
  <r>
    <x v="1531"/>
    <x v="17"/>
    <x v="12"/>
    <n v="71.900000000000006"/>
    <n v="287.60000000000002"/>
    <x v="56"/>
    <x v="52"/>
    <s v="M"/>
    <x v="2"/>
    <x v="0"/>
    <x v="0"/>
    <x v="19"/>
    <x v="7"/>
    <x v="8"/>
    <x v="1"/>
  </r>
  <r>
    <x v="1532"/>
    <x v="4"/>
    <x v="13"/>
    <n v="22.3"/>
    <n v="133.80000000000001"/>
    <x v="56"/>
    <x v="53"/>
    <s v=""/>
    <x v="3"/>
    <x v="2"/>
    <x v="0"/>
    <x v="13"/>
    <x v="3"/>
    <x v="8"/>
    <x v="0"/>
  </r>
  <r>
    <x v="1533"/>
    <x v="11"/>
    <x v="1"/>
    <n v="29.5"/>
    <n v="59"/>
    <x v="56"/>
    <x v="53"/>
    <s v="F"/>
    <x v="0"/>
    <x v="2"/>
    <x v="0"/>
    <x v="13"/>
    <x v="3"/>
    <x v="8"/>
    <x v="2"/>
  </r>
  <r>
    <x v="1534"/>
    <x v="6"/>
    <x v="12"/>
    <n v="41.9"/>
    <n v="167.6"/>
    <x v="56"/>
    <x v="57"/>
    <s v="F"/>
    <x v="0"/>
    <x v="1"/>
    <x v="0"/>
    <x v="21"/>
    <x v="5"/>
    <x v="8"/>
    <x v="2"/>
  </r>
  <r>
    <x v="1535"/>
    <x v="6"/>
    <x v="2"/>
    <n v="107.8"/>
    <n v="323.39999999999998"/>
    <x v="56"/>
    <x v="53"/>
    <s v="M"/>
    <x v="1"/>
    <x v="2"/>
    <x v="0"/>
    <x v="46"/>
    <x v="3"/>
    <x v="8"/>
    <x v="1"/>
  </r>
  <r>
    <x v="1536"/>
    <x v="4"/>
    <x v="9"/>
    <n v="18.100000000000001"/>
    <n v="90.5"/>
    <x v="56"/>
    <x v="59"/>
    <s v="M"/>
    <x v="0"/>
    <x v="2"/>
    <x v="0"/>
    <x v="2"/>
    <x v="2"/>
    <x v="8"/>
    <x v="1"/>
  </r>
  <r>
    <x v="1537"/>
    <x v="12"/>
    <x v="11"/>
    <n v="79.8"/>
    <n v="718.19999999999993"/>
    <x v="56"/>
    <x v="53"/>
    <s v="F"/>
    <x v="1"/>
    <x v="1"/>
    <x v="0"/>
    <x v="22"/>
    <x v="3"/>
    <x v="8"/>
    <x v="2"/>
  </r>
  <r>
    <x v="1538"/>
    <x v="0"/>
    <x v="2"/>
    <n v="22.3"/>
    <n v="66.900000000000006"/>
    <x v="56"/>
    <x v="59"/>
    <s v="F"/>
    <x v="0"/>
    <x v="2"/>
    <x v="0"/>
    <x v="22"/>
    <x v="2"/>
    <x v="8"/>
    <x v="2"/>
  </r>
  <r>
    <x v="1539"/>
    <x v="8"/>
    <x v="0"/>
    <n v="22.9"/>
    <n v="22.9"/>
    <x v="56"/>
    <x v="52"/>
    <s v="F"/>
    <x v="1"/>
    <x v="0"/>
    <x v="0"/>
    <x v="22"/>
    <x v="7"/>
    <x v="8"/>
    <x v="2"/>
  </r>
  <r>
    <x v="1540"/>
    <x v="0"/>
    <x v="2"/>
    <n v="16.2"/>
    <n v="48.599999999999994"/>
    <x v="57"/>
    <x v="53"/>
    <s v="M"/>
    <x v="4"/>
    <x v="2"/>
    <x v="0"/>
    <x v="3"/>
    <x v="7"/>
    <x v="8"/>
    <x v="1"/>
  </r>
  <r>
    <x v="1541"/>
    <x v="10"/>
    <x v="12"/>
    <n v="59.5"/>
    <n v="238"/>
    <x v="57"/>
    <x v="58"/>
    <s v="M"/>
    <x v="1"/>
    <x v="2"/>
    <x v="0"/>
    <x v="3"/>
    <x v="3"/>
    <x v="8"/>
    <x v="1"/>
  </r>
  <r>
    <x v="1542"/>
    <x v="18"/>
    <x v="9"/>
    <n v="26.2"/>
    <n v="131"/>
    <x v="57"/>
    <x v="57"/>
    <s v="M"/>
    <x v="3"/>
    <x v="4"/>
    <x v="0"/>
    <x v="3"/>
    <x v="2"/>
    <x v="8"/>
    <x v="1"/>
  </r>
  <r>
    <x v="1543"/>
    <x v="3"/>
    <x v="0"/>
    <n v="44.2"/>
    <n v="44.2"/>
    <x v="57"/>
    <x v="57"/>
    <s v="F"/>
    <x v="1"/>
    <x v="0"/>
    <x v="0"/>
    <x v="3"/>
    <x v="2"/>
    <x v="8"/>
    <x v="2"/>
  </r>
  <r>
    <x v="1544"/>
    <x v="9"/>
    <x v="1"/>
    <n v="59.2"/>
    <n v="118.4"/>
    <x v="57"/>
    <x v="53"/>
    <s v="F"/>
    <x v="1"/>
    <x v="4"/>
    <x v="0"/>
    <x v="3"/>
    <x v="7"/>
    <x v="8"/>
    <x v="2"/>
  </r>
  <r>
    <x v="1545"/>
    <x v="15"/>
    <x v="12"/>
    <n v="41.5"/>
    <n v="166"/>
    <x v="57"/>
    <x v="59"/>
    <s v="F"/>
    <x v="0"/>
    <x v="0"/>
    <x v="0"/>
    <x v="16"/>
    <x v="1"/>
    <x v="8"/>
    <x v="2"/>
  </r>
  <r>
    <x v="1546"/>
    <x v="6"/>
    <x v="4"/>
    <n v="67.099999999999994"/>
    <n v="805.19999999999993"/>
    <x v="57"/>
    <x v="64"/>
    <s v="F"/>
    <x v="0"/>
    <x v="2"/>
    <x v="0"/>
    <x v="23"/>
    <x v="12"/>
    <x v="8"/>
    <x v="2"/>
  </r>
  <r>
    <x v="1547"/>
    <x v="8"/>
    <x v="1"/>
    <n v="28.7"/>
    <n v="57.4"/>
    <x v="57"/>
    <x v="62"/>
    <s v="F"/>
    <x v="1"/>
    <x v="0"/>
    <x v="0"/>
    <x v="6"/>
    <x v="5"/>
    <x v="8"/>
    <x v="2"/>
  </r>
  <r>
    <x v="1548"/>
    <x v="2"/>
    <x v="12"/>
    <n v="132.1"/>
    <n v="528.4"/>
    <x v="57"/>
    <x v="58"/>
    <s v="F"/>
    <x v="0"/>
    <x v="1"/>
    <x v="0"/>
    <x v="6"/>
    <x v="3"/>
    <x v="8"/>
    <x v="2"/>
  </r>
  <r>
    <x v="1549"/>
    <x v="18"/>
    <x v="1"/>
    <n v="47"/>
    <n v="94"/>
    <x v="57"/>
    <x v="59"/>
    <s v="M"/>
    <x v="4"/>
    <x v="0"/>
    <x v="0"/>
    <x v="8"/>
    <x v="1"/>
    <x v="8"/>
    <x v="1"/>
  </r>
  <r>
    <x v="1550"/>
    <x v="8"/>
    <x v="1"/>
    <n v="41.6"/>
    <n v="83.2"/>
    <x v="57"/>
    <x v="62"/>
    <s v="M"/>
    <x v="1"/>
    <x v="2"/>
    <x v="0"/>
    <x v="8"/>
    <x v="5"/>
    <x v="8"/>
    <x v="1"/>
  </r>
  <r>
    <x v="1551"/>
    <x v="8"/>
    <x v="43"/>
    <n v="17.3"/>
    <n v="657.4"/>
    <x v="57"/>
    <x v="59"/>
    <s v="M"/>
    <x v="2"/>
    <x v="2"/>
    <x v="0"/>
    <x v="8"/>
    <x v="1"/>
    <x v="8"/>
    <x v="1"/>
  </r>
  <r>
    <x v="1552"/>
    <x v="13"/>
    <x v="2"/>
    <n v="41.8"/>
    <n v="125.39999999999999"/>
    <x v="57"/>
    <x v="57"/>
    <s v="M"/>
    <x v="0"/>
    <x v="2"/>
    <x v="0"/>
    <x v="8"/>
    <x v="2"/>
    <x v="8"/>
    <x v="1"/>
  </r>
  <r>
    <x v="1553"/>
    <x v="10"/>
    <x v="0"/>
    <n v="24"/>
    <n v="24"/>
    <x v="57"/>
    <x v="58"/>
    <s v="F"/>
    <x v="0"/>
    <x v="0"/>
    <x v="0"/>
    <x v="17"/>
    <x v="3"/>
    <x v="8"/>
    <x v="2"/>
  </r>
  <r>
    <x v="1554"/>
    <x v="14"/>
    <x v="11"/>
    <n v="18.5"/>
    <n v="166.5"/>
    <x v="57"/>
    <x v="59"/>
    <s v="F"/>
    <x v="0"/>
    <x v="0"/>
    <x v="0"/>
    <x v="9"/>
    <x v="1"/>
    <x v="8"/>
    <x v="2"/>
  </r>
  <r>
    <x v="1555"/>
    <x v="3"/>
    <x v="4"/>
    <n v="66.7"/>
    <n v="800.40000000000009"/>
    <x v="57"/>
    <x v="57"/>
    <s v=""/>
    <x v="0"/>
    <x v="2"/>
    <x v="0"/>
    <x v="11"/>
    <x v="2"/>
    <x v="8"/>
    <x v="0"/>
  </r>
  <r>
    <x v="1556"/>
    <x v="1"/>
    <x v="12"/>
    <n v="33.1"/>
    <n v="132.4"/>
    <x v="57"/>
    <x v="61"/>
    <s v="M"/>
    <x v="3"/>
    <x v="0"/>
    <x v="0"/>
    <x v="11"/>
    <x v="0"/>
    <x v="8"/>
    <x v="1"/>
  </r>
  <r>
    <x v="1557"/>
    <x v="19"/>
    <x v="11"/>
    <n v="42.1"/>
    <n v="378.90000000000003"/>
    <x v="57"/>
    <x v="65"/>
    <s v="M"/>
    <x v="1"/>
    <x v="0"/>
    <x v="0"/>
    <x v="18"/>
    <x v="11"/>
    <x v="8"/>
    <x v="1"/>
  </r>
  <r>
    <x v="1558"/>
    <x v="18"/>
    <x v="3"/>
    <n v="58.7"/>
    <n v="410.90000000000003"/>
    <x v="57"/>
    <x v="53"/>
    <s v="O"/>
    <x v="3"/>
    <x v="0"/>
    <x v="0"/>
    <x v="31"/>
    <x v="7"/>
    <x v="8"/>
    <x v="3"/>
  </r>
  <r>
    <x v="1559"/>
    <x v="6"/>
    <x v="12"/>
    <n v="54"/>
    <n v="216"/>
    <x v="57"/>
    <x v="59"/>
    <s v="F"/>
    <x v="1"/>
    <x v="0"/>
    <x v="0"/>
    <x v="1"/>
    <x v="1"/>
    <x v="8"/>
    <x v="2"/>
  </r>
  <r>
    <x v="1560"/>
    <x v="8"/>
    <x v="0"/>
    <n v="52.1"/>
    <n v="52.1"/>
    <x v="57"/>
    <x v="58"/>
    <s v="F"/>
    <x v="2"/>
    <x v="2"/>
    <x v="0"/>
    <x v="2"/>
    <x v="3"/>
    <x v="8"/>
    <x v="2"/>
  </r>
  <r>
    <x v="1561"/>
    <x v="19"/>
    <x v="1"/>
    <n v="27"/>
    <n v="54"/>
    <x v="57"/>
    <x v="57"/>
    <s v="O"/>
    <x v="2"/>
    <x v="0"/>
    <x v="0"/>
    <x v="22"/>
    <x v="2"/>
    <x v="8"/>
    <x v="3"/>
  </r>
  <r>
    <x v="1562"/>
    <x v="12"/>
    <x v="7"/>
    <n v="31"/>
    <n v="310"/>
    <x v="58"/>
    <x v="59"/>
    <s v="F"/>
    <x v="3"/>
    <x v="2"/>
    <x v="0"/>
    <x v="22"/>
    <x v="3"/>
    <x v="8"/>
    <x v="2"/>
  </r>
  <r>
    <x v="1563"/>
    <x v="10"/>
    <x v="1"/>
    <n v="46.7"/>
    <n v="93.4"/>
    <x v="58"/>
    <x v="58"/>
    <s v="F"/>
    <x v="0"/>
    <x v="0"/>
    <x v="0"/>
    <x v="34"/>
    <x v="7"/>
    <x v="8"/>
    <x v="2"/>
  </r>
  <r>
    <x v="1564"/>
    <x v="6"/>
    <x v="0"/>
    <n v="144.69999999999999"/>
    <n v="144.69999999999999"/>
    <x v="58"/>
    <x v="62"/>
    <s v="M"/>
    <x v="0"/>
    <x v="2"/>
    <x v="0"/>
    <x v="3"/>
    <x v="2"/>
    <x v="8"/>
    <x v="1"/>
  </r>
  <r>
    <x v="1565"/>
    <x v="2"/>
    <x v="11"/>
    <n v="90.9"/>
    <n v="818.1"/>
    <x v="58"/>
    <x v="59"/>
    <s v="M"/>
    <x v="0"/>
    <x v="2"/>
    <x v="0"/>
    <x v="3"/>
    <x v="3"/>
    <x v="8"/>
    <x v="1"/>
  </r>
  <r>
    <x v="1566"/>
    <x v="1"/>
    <x v="1"/>
    <n v="75.8"/>
    <n v="151.6"/>
    <x v="58"/>
    <x v="59"/>
    <s v="F"/>
    <x v="2"/>
    <x v="1"/>
    <x v="0"/>
    <x v="3"/>
    <x v="3"/>
    <x v="8"/>
    <x v="2"/>
  </r>
  <r>
    <x v="1567"/>
    <x v="7"/>
    <x v="9"/>
    <n v="57.9"/>
    <n v="289.5"/>
    <x v="58"/>
    <x v="57"/>
    <s v="M"/>
    <x v="2"/>
    <x v="2"/>
    <x v="0"/>
    <x v="3"/>
    <x v="1"/>
    <x v="8"/>
    <x v="1"/>
  </r>
  <r>
    <x v="1568"/>
    <x v="8"/>
    <x v="9"/>
    <n v="44.8"/>
    <n v="224"/>
    <x v="58"/>
    <x v="59"/>
    <s v="F"/>
    <x v="3"/>
    <x v="2"/>
    <x v="0"/>
    <x v="3"/>
    <x v="3"/>
    <x v="8"/>
    <x v="2"/>
  </r>
  <r>
    <x v="1569"/>
    <x v="9"/>
    <x v="2"/>
    <n v="44.2"/>
    <n v="132.60000000000002"/>
    <x v="58"/>
    <x v="61"/>
    <s v="M"/>
    <x v="2"/>
    <x v="2"/>
    <x v="0"/>
    <x v="3"/>
    <x v="5"/>
    <x v="8"/>
    <x v="1"/>
  </r>
  <r>
    <x v="1570"/>
    <x v="5"/>
    <x v="9"/>
    <n v="53.5"/>
    <n v="267.5"/>
    <x v="58"/>
    <x v="57"/>
    <s v="M"/>
    <x v="0"/>
    <x v="0"/>
    <x v="0"/>
    <x v="37"/>
    <x v="1"/>
    <x v="8"/>
    <x v="1"/>
  </r>
  <r>
    <x v="1571"/>
    <x v="6"/>
    <x v="1"/>
    <n v="72.2"/>
    <n v="144.4"/>
    <x v="58"/>
    <x v="59"/>
    <s v="M"/>
    <x v="0"/>
    <x v="2"/>
    <x v="0"/>
    <x v="25"/>
    <x v="3"/>
    <x v="8"/>
    <x v="1"/>
  </r>
  <r>
    <x v="1572"/>
    <x v="6"/>
    <x v="12"/>
    <n v="62.4"/>
    <n v="249.6"/>
    <x v="58"/>
    <x v="62"/>
    <s v="F"/>
    <x v="0"/>
    <x v="1"/>
    <x v="0"/>
    <x v="23"/>
    <x v="2"/>
    <x v="8"/>
    <x v="2"/>
  </r>
  <r>
    <x v="1573"/>
    <x v="10"/>
    <x v="9"/>
    <n v="24.7"/>
    <n v="123.5"/>
    <x v="58"/>
    <x v="59"/>
    <s v="F"/>
    <x v="0"/>
    <x v="0"/>
    <x v="0"/>
    <x v="6"/>
    <x v="3"/>
    <x v="8"/>
    <x v="2"/>
  </r>
  <r>
    <x v="1574"/>
    <x v="1"/>
    <x v="9"/>
    <n v="61.7"/>
    <n v="308.5"/>
    <x v="58"/>
    <x v="57"/>
    <s v="F"/>
    <x v="2"/>
    <x v="0"/>
    <x v="0"/>
    <x v="8"/>
    <x v="1"/>
    <x v="8"/>
    <x v="2"/>
  </r>
  <r>
    <x v="1575"/>
    <x v="8"/>
    <x v="9"/>
    <n v="18.2"/>
    <n v="91"/>
    <x v="58"/>
    <x v="57"/>
    <s v="F"/>
    <x v="3"/>
    <x v="0"/>
    <x v="0"/>
    <x v="8"/>
    <x v="1"/>
    <x v="8"/>
    <x v="2"/>
  </r>
  <r>
    <x v="1576"/>
    <x v="10"/>
    <x v="12"/>
    <n v="37.200000000000003"/>
    <n v="148.80000000000001"/>
    <x v="58"/>
    <x v="66"/>
    <s v="F"/>
    <x v="0"/>
    <x v="0"/>
    <x v="0"/>
    <x v="8"/>
    <x v="4"/>
    <x v="8"/>
    <x v="2"/>
  </r>
  <r>
    <x v="1577"/>
    <x v="9"/>
    <x v="2"/>
    <n v="53.5"/>
    <n v="160.5"/>
    <x v="58"/>
    <x v="57"/>
    <s v="F"/>
    <x v="1"/>
    <x v="2"/>
    <x v="0"/>
    <x v="9"/>
    <x v="1"/>
    <x v="8"/>
    <x v="2"/>
  </r>
  <r>
    <x v="1578"/>
    <x v="8"/>
    <x v="2"/>
    <n v="43.6"/>
    <n v="130.80000000000001"/>
    <x v="58"/>
    <x v="58"/>
    <s v="F"/>
    <x v="0"/>
    <x v="0"/>
    <x v="0"/>
    <x v="9"/>
    <x v="7"/>
    <x v="8"/>
    <x v="2"/>
  </r>
  <r>
    <x v="1579"/>
    <x v="1"/>
    <x v="7"/>
    <n v="135"/>
    <n v="1350"/>
    <x v="58"/>
    <x v="57"/>
    <s v="F"/>
    <x v="0"/>
    <x v="2"/>
    <x v="0"/>
    <x v="9"/>
    <x v="1"/>
    <x v="8"/>
    <x v="2"/>
  </r>
  <r>
    <x v="1580"/>
    <x v="8"/>
    <x v="9"/>
    <n v="38.5"/>
    <n v="192.5"/>
    <x v="58"/>
    <x v="58"/>
    <s v="M"/>
    <x v="4"/>
    <x v="2"/>
    <x v="0"/>
    <x v="10"/>
    <x v="7"/>
    <x v="8"/>
    <x v="1"/>
  </r>
  <r>
    <x v="1581"/>
    <x v="9"/>
    <x v="1"/>
    <n v="24"/>
    <n v="48"/>
    <x v="58"/>
    <x v="63"/>
    <s v="F"/>
    <x v="0"/>
    <x v="0"/>
    <x v="0"/>
    <x v="11"/>
    <x v="0"/>
    <x v="8"/>
    <x v="2"/>
  </r>
  <r>
    <x v="1582"/>
    <x v="4"/>
    <x v="2"/>
    <n v="28.2"/>
    <n v="84.6"/>
    <x v="58"/>
    <x v="57"/>
    <s v="M"/>
    <x v="0"/>
    <x v="3"/>
    <x v="0"/>
    <x v="18"/>
    <x v="1"/>
    <x v="8"/>
    <x v="1"/>
  </r>
  <r>
    <x v="1583"/>
    <x v="7"/>
    <x v="2"/>
    <n v="37.4"/>
    <n v="112.19999999999999"/>
    <x v="58"/>
    <x v="59"/>
    <s v="F"/>
    <x v="3"/>
    <x v="0"/>
    <x v="0"/>
    <x v="1"/>
    <x v="3"/>
    <x v="8"/>
    <x v="2"/>
  </r>
  <r>
    <x v="1584"/>
    <x v="6"/>
    <x v="2"/>
    <n v="53.5"/>
    <n v="160.5"/>
    <x v="58"/>
    <x v="62"/>
    <s v=""/>
    <x v="4"/>
    <x v="4"/>
    <x v="0"/>
    <x v="1"/>
    <x v="2"/>
    <x v="8"/>
    <x v="0"/>
  </r>
  <r>
    <x v="1585"/>
    <x v="11"/>
    <x v="9"/>
    <n v="36.200000000000003"/>
    <n v="181"/>
    <x v="58"/>
    <x v="59"/>
    <s v="M"/>
    <x v="1"/>
    <x v="2"/>
    <x v="0"/>
    <x v="33"/>
    <x v="3"/>
    <x v="8"/>
    <x v="1"/>
  </r>
  <r>
    <x v="1586"/>
    <x v="0"/>
    <x v="8"/>
    <n v="31.9"/>
    <n v="255.2"/>
    <x v="58"/>
    <x v="59"/>
    <s v="F"/>
    <x v="4"/>
    <x v="0"/>
    <x v="0"/>
    <x v="3"/>
    <x v="3"/>
    <x v="8"/>
    <x v="2"/>
  </r>
  <r>
    <x v="1587"/>
    <x v="8"/>
    <x v="2"/>
    <n v="21.3"/>
    <n v="63.900000000000006"/>
    <x v="58"/>
    <x v="59"/>
    <s v="M"/>
    <x v="0"/>
    <x v="2"/>
    <x v="0"/>
    <x v="3"/>
    <x v="3"/>
    <x v="8"/>
    <x v="1"/>
  </r>
  <r>
    <x v="1588"/>
    <x v="8"/>
    <x v="0"/>
    <n v="36.299999999999997"/>
    <n v="36.299999999999997"/>
    <x v="58"/>
    <x v="57"/>
    <s v="O"/>
    <x v="4"/>
    <x v="0"/>
    <x v="0"/>
    <x v="3"/>
    <x v="1"/>
    <x v="8"/>
    <x v="3"/>
  </r>
  <r>
    <x v="1589"/>
    <x v="6"/>
    <x v="2"/>
    <n v="110.5"/>
    <n v="331.5"/>
    <x v="58"/>
    <x v="59"/>
    <s v="F"/>
    <x v="0"/>
    <x v="3"/>
    <x v="0"/>
    <x v="3"/>
    <x v="3"/>
    <x v="8"/>
    <x v="2"/>
  </r>
  <r>
    <x v="1590"/>
    <x v="10"/>
    <x v="3"/>
    <n v="32.6"/>
    <n v="228.20000000000002"/>
    <x v="58"/>
    <x v="57"/>
    <s v="F"/>
    <x v="0"/>
    <x v="1"/>
    <x v="0"/>
    <x v="3"/>
    <x v="1"/>
    <x v="8"/>
    <x v="2"/>
  </r>
  <r>
    <x v="1591"/>
    <x v="5"/>
    <x v="2"/>
    <n v="55.6"/>
    <n v="166.8"/>
    <x v="59"/>
    <x v="67"/>
    <s v="F"/>
    <x v="0"/>
    <x v="0"/>
    <x v="0"/>
    <x v="3"/>
    <x v="10"/>
    <x v="8"/>
    <x v="2"/>
  </r>
  <r>
    <x v="1592"/>
    <x v="1"/>
    <x v="12"/>
    <n v="38"/>
    <n v="152"/>
    <x v="59"/>
    <x v="57"/>
    <s v="F"/>
    <x v="3"/>
    <x v="2"/>
    <x v="0"/>
    <x v="5"/>
    <x v="3"/>
    <x v="8"/>
    <x v="2"/>
  </r>
  <r>
    <x v="1593"/>
    <x v="10"/>
    <x v="1"/>
    <n v="51.8"/>
    <n v="103.6"/>
    <x v="59"/>
    <x v="68"/>
    <s v="M"/>
    <x v="1"/>
    <x v="4"/>
    <x v="0"/>
    <x v="6"/>
    <x v="4"/>
    <x v="8"/>
    <x v="1"/>
  </r>
  <r>
    <x v="1594"/>
    <x v="11"/>
    <x v="8"/>
    <n v="28.7"/>
    <n v="229.6"/>
    <x v="59"/>
    <x v="66"/>
    <s v="F"/>
    <x v="0"/>
    <x v="0"/>
    <x v="0"/>
    <x v="6"/>
    <x v="0"/>
    <x v="8"/>
    <x v="2"/>
  </r>
  <r>
    <x v="1595"/>
    <x v="6"/>
    <x v="4"/>
    <n v="52.2"/>
    <n v="626.40000000000009"/>
    <x v="59"/>
    <x v="59"/>
    <s v="M"/>
    <x v="0"/>
    <x v="1"/>
    <x v="0"/>
    <x v="6"/>
    <x v="7"/>
    <x v="8"/>
    <x v="1"/>
  </r>
  <r>
    <x v="1596"/>
    <x v="1"/>
    <x v="1"/>
    <n v="68.2"/>
    <n v="136.4"/>
    <x v="59"/>
    <x v="57"/>
    <s v=""/>
    <x v="2"/>
    <x v="0"/>
    <x v="0"/>
    <x v="7"/>
    <x v="3"/>
    <x v="8"/>
    <x v="0"/>
  </r>
  <r>
    <x v="1597"/>
    <x v="0"/>
    <x v="2"/>
    <n v="34"/>
    <n v="102"/>
    <x v="59"/>
    <x v="63"/>
    <s v="F"/>
    <x v="0"/>
    <x v="0"/>
    <x v="0"/>
    <x v="8"/>
    <x v="5"/>
    <x v="8"/>
    <x v="2"/>
  </r>
  <r>
    <x v="1598"/>
    <x v="8"/>
    <x v="2"/>
    <n v="19.100000000000001"/>
    <n v="57.300000000000004"/>
    <x v="59"/>
    <x v="57"/>
    <s v="F"/>
    <x v="4"/>
    <x v="0"/>
    <x v="0"/>
    <x v="8"/>
    <x v="3"/>
    <x v="8"/>
    <x v="2"/>
  </r>
  <r>
    <x v="1599"/>
    <x v="5"/>
    <x v="8"/>
    <n v="34"/>
    <n v="272"/>
    <x v="59"/>
    <x v="60"/>
    <s v="F"/>
    <x v="4"/>
    <x v="0"/>
    <x v="0"/>
    <x v="8"/>
    <x v="9"/>
    <x v="8"/>
    <x v="2"/>
  </r>
  <r>
    <x v="1600"/>
    <x v="12"/>
    <x v="1"/>
    <n v="109.1"/>
    <n v="218.2"/>
    <x v="59"/>
    <x v="62"/>
    <s v="M"/>
    <x v="0"/>
    <x v="2"/>
    <x v="0"/>
    <x v="8"/>
    <x v="1"/>
    <x v="8"/>
    <x v="1"/>
  </r>
  <r>
    <x v="1601"/>
    <x v="18"/>
    <x v="1"/>
    <n v="64.8"/>
    <n v="129.6"/>
    <x v="59"/>
    <x v="62"/>
    <s v="M"/>
    <x v="0"/>
    <x v="2"/>
    <x v="0"/>
    <x v="8"/>
    <x v="1"/>
    <x v="8"/>
    <x v="1"/>
  </r>
  <r>
    <x v="1602"/>
    <x v="10"/>
    <x v="1"/>
    <n v="21.1"/>
    <n v="42.2"/>
    <x v="59"/>
    <x v="59"/>
    <s v="F"/>
    <x v="1"/>
    <x v="0"/>
    <x v="0"/>
    <x v="11"/>
    <x v="7"/>
    <x v="8"/>
    <x v="2"/>
  </r>
  <r>
    <x v="1603"/>
    <x v="0"/>
    <x v="8"/>
    <n v="21.3"/>
    <n v="170.4"/>
    <x v="59"/>
    <x v="62"/>
    <s v="M"/>
    <x v="3"/>
    <x v="1"/>
    <x v="0"/>
    <x v="18"/>
    <x v="1"/>
    <x v="8"/>
    <x v="1"/>
  </r>
  <r>
    <x v="1604"/>
    <x v="9"/>
    <x v="2"/>
    <n v="24.3"/>
    <n v="72.900000000000006"/>
    <x v="59"/>
    <x v="57"/>
    <s v="M"/>
    <x v="1"/>
    <x v="0"/>
    <x v="0"/>
    <x v="19"/>
    <x v="3"/>
    <x v="8"/>
    <x v="1"/>
  </r>
  <r>
    <x v="1605"/>
    <x v="8"/>
    <x v="0"/>
    <n v="43.3"/>
    <n v="43.3"/>
    <x v="59"/>
    <x v="63"/>
    <s v="M"/>
    <x v="1"/>
    <x v="1"/>
    <x v="0"/>
    <x v="13"/>
    <x v="5"/>
    <x v="8"/>
    <x v="1"/>
  </r>
  <r>
    <x v="1606"/>
    <x v="9"/>
    <x v="2"/>
    <n v="41"/>
    <n v="123"/>
    <x v="59"/>
    <x v="57"/>
    <s v="F"/>
    <x v="3"/>
    <x v="4"/>
    <x v="0"/>
    <x v="21"/>
    <x v="3"/>
    <x v="8"/>
    <x v="2"/>
  </r>
  <r>
    <x v="1607"/>
    <x v="16"/>
    <x v="2"/>
    <n v="54.1"/>
    <n v="162.30000000000001"/>
    <x v="59"/>
    <x v="62"/>
    <s v="F"/>
    <x v="4"/>
    <x v="0"/>
    <x v="0"/>
    <x v="21"/>
    <x v="1"/>
    <x v="8"/>
    <x v="2"/>
  </r>
  <r>
    <x v="1608"/>
    <x v="11"/>
    <x v="1"/>
    <n v="39"/>
    <n v="78"/>
    <x v="59"/>
    <x v="57"/>
    <s v="M"/>
    <x v="1"/>
    <x v="2"/>
    <x v="0"/>
    <x v="1"/>
    <x v="3"/>
    <x v="8"/>
    <x v="1"/>
  </r>
  <r>
    <x v="1609"/>
    <x v="8"/>
    <x v="1"/>
    <n v="40.299999999999997"/>
    <n v="80.599999999999994"/>
    <x v="59"/>
    <x v="62"/>
    <s v="M"/>
    <x v="3"/>
    <x v="0"/>
    <x v="0"/>
    <x v="27"/>
    <x v="1"/>
    <x v="8"/>
    <x v="1"/>
  </r>
  <r>
    <x v="1610"/>
    <x v="8"/>
    <x v="2"/>
    <n v="24.1"/>
    <n v="72.300000000000011"/>
    <x v="59"/>
    <x v="57"/>
    <s v="M"/>
    <x v="0"/>
    <x v="2"/>
    <x v="0"/>
    <x v="34"/>
    <x v="3"/>
    <x v="8"/>
    <x v="1"/>
  </r>
  <r>
    <x v="1611"/>
    <x v="6"/>
    <x v="9"/>
    <n v="52.3"/>
    <n v="261.5"/>
    <x v="59"/>
    <x v="57"/>
    <s v="M"/>
    <x v="2"/>
    <x v="0"/>
    <x v="0"/>
    <x v="3"/>
    <x v="3"/>
    <x v="8"/>
    <x v="1"/>
  </r>
  <r>
    <x v="1612"/>
    <x v="12"/>
    <x v="12"/>
    <n v="68.8"/>
    <n v="275.2"/>
    <x v="59"/>
    <x v="63"/>
    <s v="F"/>
    <x v="4"/>
    <x v="2"/>
    <x v="0"/>
    <x v="3"/>
    <x v="5"/>
    <x v="8"/>
    <x v="2"/>
  </r>
  <r>
    <x v="1613"/>
    <x v="2"/>
    <x v="1"/>
    <n v="128.80000000000001"/>
    <n v="257.60000000000002"/>
    <x v="60"/>
    <x v="63"/>
    <s v="F"/>
    <x v="1"/>
    <x v="1"/>
    <x v="0"/>
    <x v="3"/>
    <x v="2"/>
    <x v="9"/>
    <x v="2"/>
  </r>
  <r>
    <x v="1614"/>
    <x v="15"/>
    <x v="9"/>
    <n v="48.2"/>
    <n v="241"/>
    <x v="60"/>
    <x v="61"/>
    <s v="F"/>
    <x v="3"/>
    <x v="0"/>
    <x v="0"/>
    <x v="3"/>
    <x v="1"/>
    <x v="9"/>
    <x v="2"/>
  </r>
  <r>
    <x v="1615"/>
    <x v="10"/>
    <x v="0"/>
    <n v="39.700000000000003"/>
    <n v="39.700000000000003"/>
    <x v="60"/>
    <x v="61"/>
    <s v="F"/>
    <x v="0"/>
    <x v="1"/>
    <x v="0"/>
    <x v="3"/>
    <x v="1"/>
    <x v="9"/>
    <x v="2"/>
  </r>
  <r>
    <x v="1616"/>
    <x v="9"/>
    <x v="0"/>
    <n v="59.7"/>
    <n v="59.7"/>
    <x v="60"/>
    <x v="63"/>
    <s v="F"/>
    <x v="4"/>
    <x v="0"/>
    <x v="0"/>
    <x v="3"/>
    <x v="2"/>
    <x v="9"/>
    <x v="2"/>
  </r>
  <r>
    <x v="1617"/>
    <x v="6"/>
    <x v="0"/>
    <n v="48.3"/>
    <n v="48.3"/>
    <x v="60"/>
    <x v="69"/>
    <s v="O"/>
    <x v="0"/>
    <x v="2"/>
    <x v="0"/>
    <x v="3"/>
    <x v="12"/>
    <x v="9"/>
    <x v="3"/>
  </r>
  <r>
    <x v="1618"/>
    <x v="8"/>
    <x v="2"/>
    <n v="45.5"/>
    <n v="136.5"/>
    <x v="60"/>
    <x v="61"/>
    <s v="M"/>
    <x v="2"/>
    <x v="1"/>
    <x v="0"/>
    <x v="3"/>
    <x v="1"/>
    <x v="9"/>
    <x v="1"/>
  </r>
  <r>
    <x v="1619"/>
    <x v="9"/>
    <x v="6"/>
    <n v="51"/>
    <n v="1377"/>
    <x v="60"/>
    <x v="57"/>
    <s v="F"/>
    <x v="2"/>
    <x v="0"/>
    <x v="0"/>
    <x v="3"/>
    <x v="7"/>
    <x v="9"/>
    <x v="2"/>
  </r>
  <r>
    <x v="1620"/>
    <x v="4"/>
    <x v="13"/>
    <n v="20.399999999999999"/>
    <n v="122.39999999999999"/>
    <x v="60"/>
    <x v="62"/>
    <s v="M"/>
    <x v="2"/>
    <x v="0"/>
    <x v="0"/>
    <x v="3"/>
    <x v="3"/>
    <x v="9"/>
    <x v="1"/>
  </r>
  <r>
    <x v="1621"/>
    <x v="10"/>
    <x v="1"/>
    <n v="30.4"/>
    <n v="60.8"/>
    <x v="60"/>
    <x v="61"/>
    <s v="M"/>
    <x v="2"/>
    <x v="0"/>
    <x v="0"/>
    <x v="3"/>
    <x v="1"/>
    <x v="9"/>
    <x v="1"/>
  </r>
  <r>
    <x v="1622"/>
    <x v="7"/>
    <x v="1"/>
    <n v="71.5"/>
    <n v="143"/>
    <x v="60"/>
    <x v="66"/>
    <s v="F"/>
    <x v="0"/>
    <x v="0"/>
    <x v="0"/>
    <x v="3"/>
    <x v="5"/>
    <x v="9"/>
    <x v="2"/>
  </r>
  <r>
    <x v="1623"/>
    <x v="8"/>
    <x v="13"/>
    <n v="18"/>
    <n v="108"/>
    <x v="60"/>
    <x v="62"/>
    <s v="O"/>
    <x v="1"/>
    <x v="2"/>
    <x v="0"/>
    <x v="6"/>
    <x v="3"/>
    <x v="9"/>
    <x v="3"/>
  </r>
  <r>
    <x v="1624"/>
    <x v="15"/>
    <x v="5"/>
    <n v="45.6"/>
    <n v="501.6"/>
    <x v="60"/>
    <x v="62"/>
    <s v="O"/>
    <x v="1"/>
    <x v="1"/>
    <x v="0"/>
    <x v="7"/>
    <x v="3"/>
    <x v="9"/>
    <x v="3"/>
  </r>
  <r>
    <x v="1625"/>
    <x v="9"/>
    <x v="0"/>
    <n v="31.8"/>
    <n v="31.8"/>
    <x v="60"/>
    <x v="66"/>
    <s v="F"/>
    <x v="0"/>
    <x v="2"/>
    <x v="0"/>
    <x v="7"/>
    <x v="5"/>
    <x v="9"/>
    <x v="2"/>
  </r>
  <r>
    <x v="1626"/>
    <x v="8"/>
    <x v="9"/>
    <n v="19.899999999999999"/>
    <n v="99.5"/>
    <x v="60"/>
    <x v="62"/>
    <s v="F"/>
    <x v="1"/>
    <x v="0"/>
    <x v="0"/>
    <x v="7"/>
    <x v="3"/>
    <x v="9"/>
    <x v="2"/>
  </r>
  <r>
    <x v="1627"/>
    <x v="12"/>
    <x v="11"/>
    <n v="52.1"/>
    <n v="468.90000000000003"/>
    <x v="60"/>
    <x v="61"/>
    <s v="M"/>
    <x v="0"/>
    <x v="0"/>
    <x v="0"/>
    <x v="8"/>
    <x v="1"/>
    <x v="9"/>
    <x v="1"/>
  </r>
  <r>
    <x v="1628"/>
    <x v="1"/>
    <x v="3"/>
    <n v="45.9"/>
    <n v="321.3"/>
    <x v="60"/>
    <x v="62"/>
    <s v="M"/>
    <x v="0"/>
    <x v="1"/>
    <x v="0"/>
    <x v="8"/>
    <x v="3"/>
    <x v="9"/>
    <x v="1"/>
  </r>
  <r>
    <x v="1629"/>
    <x v="1"/>
    <x v="7"/>
    <n v="115.9"/>
    <n v="1159"/>
    <x v="60"/>
    <x v="63"/>
    <s v="F"/>
    <x v="1"/>
    <x v="0"/>
    <x v="0"/>
    <x v="8"/>
    <x v="2"/>
    <x v="9"/>
    <x v="2"/>
  </r>
  <r>
    <x v="1630"/>
    <x v="6"/>
    <x v="11"/>
    <n v="86"/>
    <n v="774"/>
    <x v="60"/>
    <x v="68"/>
    <s v="F"/>
    <x v="0"/>
    <x v="1"/>
    <x v="0"/>
    <x v="8"/>
    <x v="0"/>
    <x v="9"/>
    <x v="2"/>
  </r>
  <r>
    <x v="1631"/>
    <x v="7"/>
    <x v="3"/>
    <n v="73.599999999999994"/>
    <n v="515.19999999999993"/>
    <x v="60"/>
    <x v="61"/>
    <s v="F"/>
    <x v="0"/>
    <x v="0"/>
    <x v="0"/>
    <x v="17"/>
    <x v="1"/>
    <x v="9"/>
    <x v="2"/>
  </r>
  <r>
    <x v="1632"/>
    <x v="10"/>
    <x v="2"/>
    <n v="26.7"/>
    <n v="80.099999999999994"/>
    <x v="60"/>
    <x v="66"/>
    <s v="F"/>
    <x v="0"/>
    <x v="0"/>
    <x v="0"/>
    <x v="11"/>
    <x v="5"/>
    <x v="9"/>
    <x v="2"/>
  </r>
  <r>
    <x v="1633"/>
    <x v="8"/>
    <x v="3"/>
    <n v="46.6"/>
    <n v="326.2"/>
    <x v="60"/>
    <x v="61"/>
    <s v=""/>
    <x v="3"/>
    <x v="0"/>
    <x v="0"/>
    <x v="11"/>
    <x v="1"/>
    <x v="9"/>
    <x v="0"/>
  </r>
  <r>
    <x v="1634"/>
    <x v="3"/>
    <x v="2"/>
    <n v="84.6"/>
    <n v="253.79999999999998"/>
    <x v="60"/>
    <x v="61"/>
    <s v="M"/>
    <x v="4"/>
    <x v="0"/>
    <x v="0"/>
    <x v="11"/>
    <x v="1"/>
    <x v="9"/>
    <x v="1"/>
  </r>
  <r>
    <x v="1635"/>
    <x v="7"/>
    <x v="21"/>
    <n v="41.5"/>
    <n v="581"/>
    <x v="60"/>
    <x v="69"/>
    <s v="M"/>
    <x v="1"/>
    <x v="0"/>
    <x v="0"/>
    <x v="53"/>
    <x v="12"/>
    <x v="9"/>
    <x v="1"/>
  </r>
  <r>
    <x v="1636"/>
    <x v="8"/>
    <x v="0"/>
    <n v="32.799999999999997"/>
    <n v="32.799999999999997"/>
    <x v="60"/>
    <x v="63"/>
    <s v="M"/>
    <x v="0"/>
    <x v="2"/>
    <x v="0"/>
    <x v="30"/>
    <x v="2"/>
    <x v="9"/>
    <x v="1"/>
  </r>
  <r>
    <x v="1637"/>
    <x v="4"/>
    <x v="3"/>
    <n v="46.7"/>
    <n v="326.90000000000003"/>
    <x v="60"/>
    <x v="61"/>
    <s v="O"/>
    <x v="0"/>
    <x v="2"/>
    <x v="0"/>
    <x v="18"/>
    <x v="1"/>
    <x v="9"/>
    <x v="3"/>
  </r>
  <r>
    <x v="1638"/>
    <x v="15"/>
    <x v="3"/>
    <n v="21"/>
    <n v="147"/>
    <x v="60"/>
    <x v="63"/>
    <s v="M"/>
    <x v="2"/>
    <x v="1"/>
    <x v="0"/>
    <x v="21"/>
    <x v="2"/>
    <x v="9"/>
    <x v="1"/>
  </r>
  <r>
    <x v="1639"/>
    <x v="5"/>
    <x v="3"/>
    <n v="29.4"/>
    <n v="205.79999999999998"/>
    <x v="60"/>
    <x v="57"/>
    <s v="M"/>
    <x v="3"/>
    <x v="2"/>
    <x v="0"/>
    <x v="21"/>
    <x v="7"/>
    <x v="9"/>
    <x v="1"/>
  </r>
  <r>
    <x v="1640"/>
    <x v="15"/>
    <x v="1"/>
    <n v="32.299999999999997"/>
    <n v="64.599999999999994"/>
    <x v="60"/>
    <x v="62"/>
    <s v="M"/>
    <x v="0"/>
    <x v="2"/>
    <x v="0"/>
    <x v="21"/>
    <x v="3"/>
    <x v="9"/>
    <x v="1"/>
  </r>
  <r>
    <x v="1641"/>
    <x v="6"/>
    <x v="0"/>
    <n v="42.2"/>
    <n v="42.2"/>
    <x v="61"/>
    <x v="63"/>
    <s v="F"/>
    <x v="0"/>
    <x v="2"/>
    <x v="0"/>
    <x v="21"/>
    <x v="1"/>
    <x v="9"/>
    <x v="2"/>
  </r>
  <r>
    <x v="1642"/>
    <x v="6"/>
    <x v="0"/>
    <n v="53.7"/>
    <n v="53.7"/>
    <x v="61"/>
    <x v="63"/>
    <s v="M"/>
    <x v="1"/>
    <x v="1"/>
    <x v="0"/>
    <x v="1"/>
    <x v="1"/>
    <x v="9"/>
    <x v="1"/>
  </r>
  <r>
    <x v="1643"/>
    <x v="2"/>
    <x v="1"/>
    <n v="123.9"/>
    <n v="247.8"/>
    <x v="61"/>
    <x v="66"/>
    <s v="M"/>
    <x v="2"/>
    <x v="0"/>
    <x v="0"/>
    <x v="1"/>
    <x v="2"/>
    <x v="9"/>
    <x v="1"/>
  </r>
  <r>
    <x v="1644"/>
    <x v="4"/>
    <x v="2"/>
    <n v="35.9"/>
    <n v="107.69999999999999"/>
    <x v="61"/>
    <x v="63"/>
    <s v="M"/>
    <x v="2"/>
    <x v="0"/>
    <x v="0"/>
    <x v="22"/>
    <x v="1"/>
    <x v="9"/>
    <x v="1"/>
  </r>
  <r>
    <x v="1645"/>
    <x v="4"/>
    <x v="1"/>
    <n v="23.6"/>
    <n v="47.2"/>
    <x v="61"/>
    <x v="66"/>
    <s v="M"/>
    <x v="0"/>
    <x v="2"/>
    <x v="0"/>
    <x v="3"/>
    <x v="2"/>
    <x v="9"/>
    <x v="1"/>
  </r>
  <r>
    <x v="1646"/>
    <x v="15"/>
    <x v="36"/>
    <n v="45.7"/>
    <n v="1599.5"/>
    <x v="61"/>
    <x v="61"/>
    <s v="M"/>
    <x v="0"/>
    <x v="1"/>
    <x v="0"/>
    <x v="3"/>
    <x v="3"/>
    <x v="9"/>
    <x v="1"/>
  </r>
  <r>
    <x v="1647"/>
    <x v="6"/>
    <x v="5"/>
    <n v="118.3"/>
    <n v="1301.3"/>
    <x v="61"/>
    <x v="63"/>
    <s v="M"/>
    <x v="4"/>
    <x v="2"/>
    <x v="0"/>
    <x v="3"/>
    <x v="1"/>
    <x v="9"/>
    <x v="1"/>
  </r>
  <r>
    <x v="1648"/>
    <x v="19"/>
    <x v="0"/>
    <n v="36"/>
    <n v="36"/>
    <x v="61"/>
    <x v="61"/>
    <s v="F"/>
    <x v="0"/>
    <x v="1"/>
    <x v="0"/>
    <x v="3"/>
    <x v="3"/>
    <x v="9"/>
    <x v="2"/>
  </r>
  <r>
    <x v="1649"/>
    <x v="8"/>
    <x v="1"/>
    <n v="37.1"/>
    <n v="74.2"/>
    <x v="61"/>
    <x v="66"/>
    <s v="F"/>
    <x v="2"/>
    <x v="0"/>
    <x v="0"/>
    <x v="3"/>
    <x v="2"/>
    <x v="9"/>
    <x v="2"/>
  </r>
  <r>
    <x v="1650"/>
    <x v="18"/>
    <x v="2"/>
    <n v="45.1"/>
    <n v="135.30000000000001"/>
    <x v="61"/>
    <x v="63"/>
    <s v="F"/>
    <x v="1"/>
    <x v="2"/>
    <x v="0"/>
    <x v="3"/>
    <x v="1"/>
    <x v="9"/>
    <x v="2"/>
  </r>
  <r>
    <x v="1651"/>
    <x v="5"/>
    <x v="27"/>
    <n v="37.9"/>
    <n v="606.4"/>
    <x v="61"/>
    <x v="61"/>
    <s v="F"/>
    <x v="3"/>
    <x v="2"/>
    <x v="0"/>
    <x v="3"/>
    <x v="3"/>
    <x v="9"/>
    <x v="2"/>
  </r>
  <r>
    <x v="1652"/>
    <x v="2"/>
    <x v="1"/>
    <n v="121.6"/>
    <n v="243.2"/>
    <x v="61"/>
    <x v="66"/>
    <s v="M"/>
    <x v="3"/>
    <x v="2"/>
    <x v="0"/>
    <x v="3"/>
    <x v="2"/>
    <x v="9"/>
    <x v="1"/>
  </r>
  <r>
    <x v="1653"/>
    <x v="5"/>
    <x v="3"/>
    <n v="38.200000000000003"/>
    <n v="267.40000000000003"/>
    <x v="61"/>
    <x v="66"/>
    <s v="F"/>
    <x v="0"/>
    <x v="0"/>
    <x v="0"/>
    <x v="3"/>
    <x v="2"/>
    <x v="9"/>
    <x v="2"/>
  </r>
  <r>
    <x v="1654"/>
    <x v="17"/>
    <x v="1"/>
    <n v="37.200000000000003"/>
    <n v="74.400000000000006"/>
    <x v="61"/>
    <x v="66"/>
    <s v="M"/>
    <x v="4"/>
    <x v="0"/>
    <x v="0"/>
    <x v="3"/>
    <x v="2"/>
    <x v="9"/>
    <x v="1"/>
  </r>
  <r>
    <x v="1655"/>
    <x v="2"/>
    <x v="12"/>
    <n v="115.7"/>
    <n v="462.8"/>
    <x v="61"/>
    <x v="66"/>
    <s v="F"/>
    <x v="1"/>
    <x v="0"/>
    <x v="0"/>
    <x v="3"/>
    <x v="2"/>
    <x v="9"/>
    <x v="2"/>
  </r>
  <r>
    <x v="1656"/>
    <x v="2"/>
    <x v="13"/>
    <n v="99.4"/>
    <n v="596.40000000000009"/>
    <x v="61"/>
    <x v="66"/>
    <s v="M"/>
    <x v="0"/>
    <x v="2"/>
    <x v="0"/>
    <x v="3"/>
    <x v="2"/>
    <x v="9"/>
    <x v="1"/>
  </r>
  <r>
    <x v="1657"/>
    <x v="11"/>
    <x v="0"/>
    <n v="38.700000000000003"/>
    <n v="38.700000000000003"/>
    <x v="61"/>
    <x v="61"/>
    <s v="F"/>
    <x v="2"/>
    <x v="0"/>
    <x v="0"/>
    <x v="25"/>
    <x v="3"/>
    <x v="9"/>
    <x v="2"/>
  </r>
  <r>
    <x v="1658"/>
    <x v="4"/>
    <x v="1"/>
    <n v="35.5"/>
    <n v="71"/>
    <x v="61"/>
    <x v="66"/>
    <s v="M"/>
    <x v="0"/>
    <x v="2"/>
    <x v="0"/>
    <x v="25"/>
    <x v="2"/>
    <x v="9"/>
    <x v="1"/>
  </r>
  <r>
    <x v="1659"/>
    <x v="2"/>
    <x v="12"/>
    <n v="93.3"/>
    <n v="373.2"/>
    <x v="61"/>
    <x v="66"/>
    <s v="F"/>
    <x v="0"/>
    <x v="2"/>
    <x v="0"/>
    <x v="6"/>
    <x v="2"/>
    <x v="9"/>
    <x v="2"/>
  </r>
  <r>
    <x v="1660"/>
    <x v="16"/>
    <x v="0"/>
    <n v="31.4"/>
    <n v="31.4"/>
    <x v="61"/>
    <x v="70"/>
    <s v="F"/>
    <x v="2"/>
    <x v="2"/>
    <x v="0"/>
    <x v="6"/>
    <x v="0"/>
    <x v="9"/>
    <x v="2"/>
  </r>
  <r>
    <x v="1661"/>
    <x v="1"/>
    <x v="0"/>
    <n v="85.9"/>
    <n v="85.9"/>
    <x v="61"/>
    <x v="66"/>
    <s v="M"/>
    <x v="1"/>
    <x v="0"/>
    <x v="0"/>
    <x v="6"/>
    <x v="2"/>
    <x v="9"/>
    <x v="1"/>
  </r>
  <r>
    <x v="1662"/>
    <x v="6"/>
    <x v="8"/>
    <n v="41.7"/>
    <n v="333.6"/>
    <x v="61"/>
    <x v="71"/>
    <s v="M"/>
    <x v="0"/>
    <x v="2"/>
    <x v="0"/>
    <x v="7"/>
    <x v="9"/>
    <x v="9"/>
    <x v="1"/>
  </r>
  <r>
    <x v="1663"/>
    <x v="8"/>
    <x v="12"/>
    <n v="31.5"/>
    <n v="126"/>
    <x v="61"/>
    <x v="61"/>
    <s v="F"/>
    <x v="0"/>
    <x v="0"/>
    <x v="0"/>
    <x v="7"/>
    <x v="3"/>
    <x v="9"/>
    <x v="2"/>
  </r>
  <r>
    <x v="1664"/>
    <x v="8"/>
    <x v="1"/>
    <n v="36.299999999999997"/>
    <n v="72.599999999999994"/>
    <x v="61"/>
    <x v="61"/>
    <s v="F"/>
    <x v="0"/>
    <x v="4"/>
    <x v="0"/>
    <x v="8"/>
    <x v="3"/>
    <x v="9"/>
    <x v="2"/>
  </r>
  <r>
    <x v="1665"/>
    <x v="8"/>
    <x v="2"/>
    <n v="33.4"/>
    <n v="100.19999999999999"/>
    <x v="61"/>
    <x v="61"/>
    <s v="F"/>
    <x v="3"/>
    <x v="0"/>
    <x v="0"/>
    <x v="17"/>
    <x v="3"/>
    <x v="9"/>
    <x v="2"/>
  </r>
  <r>
    <x v="1666"/>
    <x v="2"/>
    <x v="2"/>
    <n v="65.2"/>
    <n v="195.60000000000002"/>
    <x v="61"/>
    <x v="61"/>
    <s v="F"/>
    <x v="2"/>
    <x v="2"/>
    <x v="0"/>
    <x v="26"/>
    <x v="3"/>
    <x v="9"/>
    <x v="2"/>
  </r>
  <r>
    <x v="1667"/>
    <x v="8"/>
    <x v="11"/>
    <n v="65.5"/>
    <n v="589.5"/>
    <x v="61"/>
    <x v="66"/>
    <s v="F"/>
    <x v="0"/>
    <x v="2"/>
    <x v="0"/>
    <x v="9"/>
    <x v="2"/>
    <x v="9"/>
    <x v="2"/>
  </r>
  <r>
    <x v="1668"/>
    <x v="6"/>
    <x v="2"/>
    <n v="52.8"/>
    <n v="158.39999999999998"/>
    <x v="61"/>
    <x v="66"/>
    <s v="M"/>
    <x v="2"/>
    <x v="0"/>
    <x v="0"/>
    <x v="9"/>
    <x v="2"/>
    <x v="9"/>
    <x v="1"/>
  </r>
  <r>
    <x v="1669"/>
    <x v="9"/>
    <x v="9"/>
    <n v="24"/>
    <n v="120"/>
    <x v="61"/>
    <x v="68"/>
    <s v="M"/>
    <x v="0"/>
    <x v="1"/>
    <x v="0"/>
    <x v="11"/>
    <x v="5"/>
    <x v="9"/>
    <x v="1"/>
  </r>
  <r>
    <x v="1670"/>
    <x v="3"/>
    <x v="2"/>
    <n v="51.2"/>
    <n v="153.60000000000002"/>
    <x v="61"/>
    <x v="61"/>
    <s v="F"/>
    <x v="0"/>
    <x v="0"/>
    <x v="0"/>
    <x v="32"/>
    <x v="3"/>
    <x v="9"/>
    <x v="2"/>
  </r>
  <r>
    <x v="1671"/>
    <x v="5"/>
    <x v="2"/>
    <n v="28.3"/>
    <n v="84.9"/>
    <x v="61"/>
    <x v="63"/>
    <s v="M"/>
    <x v="4"/>
    <x v="0"/>
    <x v="0"/>
    <x v="19"/>
    <x v="1"/>
    <x v="9"/>
    <x v="1"/>
  </r>
  <r>
    <x v="1672"/>
    <x v="6"/>
    <x v="2"/>
    <n v="42.3"/>
    <n v="126.89999999999999"/>
    <x v="61"/>
    <x v="62"/>
    <s v="F"/>
    <x v="2"/>
    <x v="1"/>
    <x v="0"/>
    <x v="19"/>
    <x v="7"/>
    <x v="9"/>
    <x v="2"/>
  </r>
  <r>
    <x v="1673"/>
    <x v="2"/>
    <x v="8"/>
    <n v="163.30000000000001"/>
    <n v="1306.4000000000001"/>
    <x v="62"/>
    <x v="63"/>
    <s v="F"/>
    <x v="1"/>
    <x v="0"/>
    <x v="0"/>
    <x v="13"/>
    <x v="3"/>
    <x v="9"/>
    <x v="2"/>
  </r>
  <r>
    <x v="1674"/>
    <x v="6"/>
    <x v="3"/>
    <n v="47.3"/>
    <n v="331.09999999999997"/>
    <x v="62"/>
    <x v="68"/>
    <s v="F"/>
    <x v="4"/>
    <x v="1"/>
    <x v="0"/>
    <x v="21"/>
    <x v="2"/>
    <x v="9"/>
    <x v="2"/>
  </r>
  <r>
    <x v="1675"/>
    <x v="8"/>
    <x v="27"/>
    <n v="27.3"/>
    <n v="436.8"/>
    <x v="62"/>
    <x v="63"/>
    <s v="F"/>
    <x v="2"/>
    <x v="0"/>
    <x v="0"/>
    <x v="21"/>
    <x v="3"/>
    <x v="9"/>
    <x v="2"/>
  </r>
  <r>
    <x v="1676"/>
    <x v="10"/>
    <x v="13"/>
    <n v="34.9"/>
    <n v="209.39999999999998"/>
    <x v="62"/>
    <x v="72"/>
    <s v="F"/>
    <x v="0"/>
    <x v="0"/>
    <x v="0"/>
    <x v="21"/>
    <x v="11"/>
    <x v="9"/>
    <x v="2"/>
  </r>
  <r>
    <x v="1677"/>
    <x v="6"/>
    <x v="1"/>
    <n v="53.9"/>
    <n v="107.8"/>
    <x v="62"/>
    <x v="68"/>
    <s v="O"/>
    <x v="0"/>
    <x v="4"/>
    <x v="0"/>
    <x v="1"/>
    <x v="2"/>
    <x v="9"/>
    <x v="3"/>
  </r>
  <r>
    <x v="1678"/>
    <x v="2"/>
    <x v="1"/>
    <n v="87.2"/>
    <n v="174.4"/>
    <x v="62"/>
    <x v="63"/>
    <s v="F"/>
    <x v="0"/>
    <x v="1"/>
    <x v="0"/>
    <x v="1"/>
    <x v="3"/>
    <x v="9"/>
    <x v="2"/>
  </r>
  <r>
    <x v="1679"/>
    <x v="15"/>
    <x v="0"/>
    <n v="58.8"/>
    <n v="58.8"/>
    <x v="62"/>
    <x v="66"/>
    <s v="F"/>
    <x v="2"/>
    <x v="0"/>
    <x v="0"/>
    <x v="44"/>
    <x v="1"/>
    <x v="9"/>
    <x v="2"/>
  </r>
  <r>
    <x v="1680"/>
    <x v="2"/>
    <x v="3"/>
    <n v="125.5"/>
    <n v="878.5"/>
    <x v="62"/>
    <x v="63"/>
    <s v="M"/>
    <x v="2"/>
    <x v="4"/>
    <x v="0"/>
    <x v="22"/>
    <x v="3"/>
    <x v="9"/>
    <x v="1"/>
  </r>
  <r>
    <x v="1681"/>
    <x v="1"/>
    <x v="12"/>
    <n v="124.6"/>
    <n v="498.4"/>
    <x v="62"/>
    <x v="66"/>
    <s v="F"/>
    <x v="0"/>
    <x v="1"/>
    <x v="0"/>
    <x v="22"/>
    <x v="1"/>
    <x v="9"/>
    <x v="2"/>
  </r>
  <r>
    <x v="1682"/>
    <x v="1"/>
    <x v="3"/>
    <n v="39.9"/>
    <n v="279.3"/>
    <x v="62"/>
    <x v="63"/>
    <s v="M"/>
    <x v="2"/>
    <x v="1"/>
    <x v="0"/>
    <x v="3"/>
    <x v="3"/>
    <x v="9"/>
    <x v="1"/>
  </r>
  <r>
    <x v="1683"/>
    <x v="6"/>
    <x v="0"/>
    <n v="94.6"/>
    <n v="94.6"/>
    <x v="62"/>
    <x v="73"/>
    <s v="F"/>
    <x v="0"/>
    <x v="1"/>
    <x v="0"/>
    <x v="3"/>
    <x v="12"/>
    <x v="9"/>
    <x v="2"/>
  </r>
  <r>
    <x v="1684"/>
    <x v="2"/>
    <x v="1"/>
    <n v="149.6"/>
    <n v="299.2"/>
    <x v="62"/>
    <x v="63"/>
    <s v="F"/>
    <x v="0"/>
    <x v="0"/>
    <x v="0"/>
    <x v="3"/>
    <x v="3"/>
    <x v="9"/>
    <x v="2"/>
  </r>
  <r>
    <x v="1685"/>
    <x v="8"/>
    <x v="0"/>
    <n v="52.2"/>
    <n v="52.2"/>
    <x v="62"/>
    <x v="63"/>
    <s v=""/>
    <x v="1"/>
    <x v="0"/>
    <x v="0"/>
    <x v="3"/>
    <x v="3"/>
    <x v="9"/>
    <x v="0"/>
  </r>
  <r>
    <x v="1686"/>
    <x v="6"/>
    <x v="1"/>
    <n v="96.5"/>
    <n v="193"/>
    <x v="62"/>
    <x v="63"/>
    <s v="F"/>
    <x v="1"/>
    <x v="1"/>
    <x v="0"/>
    <x v="3"/>
    <x v="3"/>
    <x v="9"/>
    <x v="2"/>
  </r>
  <r>
    <x v="1687"/>
    <x v="8"/>
    <x v="1"/>
    <n v="79.8"/>
    <n v="159.6"/>
    <x v="62"/>
    <x v="66"/>
    <s v="F"/>
    <x v="0"/>
    <x v="1"/>
    <x v="0"/>
    <x v="3"/>
    <x v="1"/>
    <x v="9"/>
    <x v="2"/>
  </r>
  <r>
    <x v="1688"/>
    <x v="8"/>
    <x v="2"/>
    <n v="35.6"/>
    <n v="106.80000000000001"/>
    <x v="62"/>
    <x v="63"/>
    <s v="F"/>
    <x v="2"/>
    <x v="0"/>
    <x v="0"/>
    <x v="3"/>
    <x v="3"/>
    <x v="9"/>
    <x v="2"/>
  </r>
  <r>
    <x v="1689"/>
    <x v="16"/>
    <x v="0"/>
    <n v="50.2"/>
    <n v="50.2"/>
    <x v="62"/>
    <x v="63"/>
    <s v="F"/>
    <x v="1"/>
    <x v="2"/>
    <x v="0"/>
    <x v="3"/>
    <x v="3"/>
    <x v="9"/>
    <x v="2"/>
  </r>
  <r>
    <x v="1690"/>
    <x v="1"/>
    <x v="2"/>
    <n v="55.3"/>
    <n v="165.89999999999998"/>
    <x v="62"/>
    <x v="68"/>
    <s v="F"/>
    <x v="0"/>
    <x v="4"/>
    <x v="0"/>
    <x v="40"/>
    <x v="2"/>
    <x v="9"/>
    <x v="2"/>
  </r>
  <r>
    <x v="1691"/>
    <x v="6"/>
    <x v="3"/>
    <n v="104.5"/>
    <n v="731.5"/>
    <x v="62"/>
    <x v="70"/>
    <s v="F"/>
    <x v="1"/>
    <x v="0"/>
    <x v="0"/>
    <x v="7"/>
    <x v="5"/>
    <x v="9"/>
    <x v="2"/>
  </r>
  <r>
    <x v="1692"/>
    <x v="6"/>
    <x v="12"/>
    <n v="66.5"/>
    <n v="266"/>
    <x v="62"/>
    <x v="66"/>
    <s v="M"/>
    <x v="1"/>
    <x v="0"/>
    <x v="0"/>
    <x v="7"/>
    <x v="1"/>
    <x v="9"/>
    <x v="1"/>
  </r>
  <r>
    <x v="1693"/>
    <x v="10"/>
    <x v="8"/>
    <n v="38.299999999999997"/>
    <n v="306.39999999999998"/>
    <x v="62"/>
    <x v="63"/>
    <s v="F"/>
    <x v="0"/>
    <x v="0"/>
    <x v="0"/>
    <x v="7"/>
    <x v="3"/>
    <x v="9"/>
    <x v="2"/>
  </r>
  <r>
    <x v="1694"/>
    <x v="6"/>
    <x v="2"/>
    <n v="63.8"/>
    <n v="191.39999999999998"/>
    <x v="62"/>
    <x v="68"/>
    <s v="F"/>
    <x v="1"/>
    <x v="0"/>
    <x v="0"/>
    <x v="8"/>
    <x v="2"/>
    <x v="9"/>
    <x v="2"/>
  </r>
  <r>
    <x v="1695"/>
    <x v="15"/>
    <x v="0"/>
    <n v="21.4"/>
    <n v="21.4"/>
    <x v="62"/>
    <x v="61"/>
    <s v="M"/>
    <x v="4"/>
    <x v="0"/>
    <x v="0"/>
    <x v="8"/>
    <x v="7"/>
    <x v="9"/>
    <x v="1"/>
  </r>
  <r>
    <x v="1696"/>
    <x v="8"/>
    <x v="12"/>
    <n v="44.1"/>
    <n v="176.4"/>
    <x v="62"/>
    <x v="66"/>
    <s v="F"/>
    <x v="2"/>
    <x v="0"/>
    <x v="0"/>
    <x v="8"/>
    <x v="1"/>
    <x v="9"/>
    <x v="2"/>
  </r>
  <r>
    <x v="1697"/>
    <x v="5"/>
    <x v="8"/>
    <n v="57.6"/>
    <n v="460.8"/>
    <x v="62"/>
    <x v="66"/>
    <s v="M"/>
    <x v="1"/>
    <x v="2"/>
    <x v="0"/>
    <x v="8"/>
    <x v="1"/>
    <x v="9"/>
    <x v="1"/>
  </r>
  <r>
    <x v="1698"/>
    <x v="9"/>
    <x v="1"/>
    <n v="20.3"/>
    <n v="40.6"/>
    <x v="62"/>
    <x v="65"/>
    <s v="F"/>
    <x v="3"/>
    <x v="0"/>
    <x v="0"/>
    <x v="8"/>
    <x v="4"/>
    <x v="9"/>
    <x v="2"/>
  </r>
  <r>
    <x v="1699"/>
    <x v="8"/>
    <x v="0"/>
    <n v="22.9"/>
    <n v="22.9"/>
    <x v="62"/>
    <x v="66"/>
    <s v="F"/>
    <x v="2"/>
    <x v="2"/>
    <x v="0"/>
    <x v="8"/>
    <x v="1"/>
    <x v="9"/>
    <x v="2"/>
  </r>
  <r>
    <x v="1700"/>
    <x v="6"/>
    <x v="12"/>
    <n v="105.9"/>
    <n v="423.6"/>
    <x v="62"/>
    <x v="63"/>
    <s v="F"/>
    <x v="1"/>
    <x v="2"/>
    <x v="0"/>
    <x v="17"/>
    <x v="3"/>
    <x v="9"/>
    <x v="2"/>
  </r>
  <r>
    <x v="1701"/>
    <x v="1"/>
    <x v="11"/>
    <n v="37.4"/>
    <n v="336.59999999999997"/>
    <x v="62"/>
    <x v="70"/>
    <s v="M"/>
    <x v="1"/>
    <x v="0"/>
    <x v="0"/>
    <x v="11"/>
    <x v="5"/>
    <x v="9"/>
    <x v="1"/>
  </r>
  <r>
    <x v="1702"/>
    <x v="18"/>
    <x v="1"/>
    <n v="79"/>
    <n v="158"/>
    <x v="62"/>
    <x v="63"/>
    <s v="M"/>
    <x v="2"/>
    <x v="0"/>
    <x v="0"/>
    <x v="28"/>
    <x v="3"/>
    <x v="9"/>
    <x v="1"/>
  </r>
  <r>
    <x v="1703"/>
    <x v="0"/>
    <x v="2"/>
    <n v="19.3"/>
    <n v="57.900000000000006"/>
    <x v="62"/>
    <x v="63"/>
    <s v="F"/>
    <x v="4"/>
    <x v="0"/>
    <x v="0"/>
    <x v="21"/>
    <x v="3"/>
    <x v="9"/>
    <x v="2"/>
  </r>
  <r>
    <x v="1704"/>
    <x v="0"/>
    <x v="0"/>
    <n v="24"/>
    <n v="24"/>
    <x v="62"/>
    <x v="63"/>
    <s v="F"/>
    <x v="1"/>
    <x v="0"/>
    <x v="0"/>
    <x v="1"/>
    <x v="3"/>
    <x v="9"/>
    <x v="2"/>
  </r>
  <r>
    <x v="1705"/>
    <x v="6"/>
    <x v="9"/>
    <n v="71.3"/>
    <n v="356.5"/>
    <x v="62"/>
    <x v="68"/>
    <s v="F"/>
    <x v="2"/>
    <x v="0"/>
    <x v="0"/>
    <x v="2"/>
    <x v="2"/>
    <x v="9"/>
    <x v="2"/>
  </r>
  <r>
    <x v="1706"/>
    <x v="5"/>
    <x v="1"/>
    <n v="166.2"/>
    <n v="332.4"/>
    <x v="62"/>
    <x v="63"/>
    <s v="M"/>
    <x v="0"/>
    <x v="2"/>
    <x v="0"/>
    <x v="50"/>
    <x v="3"/>
    <x v="9"/>
    <x v="1"/>
  </r>
  <r>
    <x v="1707"/>
    <x v="6"/>
    <x v="0"/>
    <n v="81"/>
    <n v="81"/>
    <x v="62"/>
    <x v="63"/>
    <s v="F"/>
    <x v="2"/>
    <x v="1"/>
    <x v="0"/>
    <x v="3"/>
    <x v="3"/>
    <x v="9"/>
    <x v="2"/>
  </r>
  <r>
    <x v="1708"/>
    <x v="10"/>
    <x v="13"/>
    <n v="38.5"/>
    <n v="231"/>
    <x v="62"/>
    <x v="70"/>
    <s v="F"/>
    <x v="0"/>
    <x v="0"/>
    <x v="0"/>
    <x v="3"/>
    <x v="5"/>
    <x v="9"/>
    <x v="2"/>
  </r>
  <r>
    <x v="1709"/>
    <x v="6"/>
    <x v="0"/>
    <n v="86.1"/>
    <n v="86.1"/>
    <x v="62"/>
    <x v="66"/>
    <s v="F"/>
    <x v="3"/>
    <x v="0"/>
    <x v="0"/>
    <x v="3"/>
    <x v="1"/>
    <x v="9"/>
    <x v="2"/>
  </r>
  <r>
    <x v="1710"/>
    <x v="2"/>
    <x v="9"/>
    <n v="51"/>
    <n v="255"/>
    <x v="62"/>
    <x v="63"/>
    <s v="M"/>
    <x v="0"/>
    <x v="1"/>
    <x v="0"/>
    <x v="3"/>
    <x v="3"/>
    <x v="9"/>
    <x v="1"/>
  </r>
  <r>
    <x v="1711"/>
    <x v="3"/>
    <x v="9"/>
    <n v="115.4"/>
    <n v="577"/>
    <x v="62"/>
    <x v="63"/>
    <s v="M"/>
    <x v="0"/>
    <x v="0"/>
    <x v="0"/>
    <x v="3"/>
    <x v="3"/>
    <x v="9"/>
    <x v="1"/>
  </r>
  <r>
    <x v="1712"/>
    <x v="6"/>
    <x v="12"/>
    <n v="176.5"/>
    <n v="706"/>
    <x v="62"/>
    <x v="63"/>
    <s v="F"/>
    <x v="2"/>
    <x v="2"/>
    <x v="0"/>
    <x v="3"/>
    <x v="3"/>
    <x v="9"/>
    <x v="2"/>
  </r>
  <r>
    <x v="1713"/>
    <x v="7"/>
    <x v="2"/>
    <n v="48.9"/>
    <n v="146.69999999999999"/>
    <x v="62"/>
    <x v="63"/>
    <s v="M"/>
    <x v="4"/>
    <x v="0"/>
    <x v="0"/>
    <x v="3"/>
    <x v="3"/>
    <x v="9"/>
    <x v="1"/>
  </r>
  <r>
    <x v="1714"/>
    <x v="8"/>
    <x v="2"/>
    <n v="18.100000000000001"/>
    <n v="54.300000000000004"/>
    <x v="62"/>
    <x v="71"/>
    <s v="F"/>
    <x v="1"/>
    <x v="2"/>
    <x v="0"/>
    <x v="29"/>
    <x v="6"/>
    <x v="9"/>
    <x v="2"/>
  </r>
  <r>
    <x v="1715"/>
    <x v="2"/>
    <x v="1"/>
    <n v="118.5"/>
    <n v="237"/>
    <x v="62"/>
    <x v="68"/>
    <s v="M"/>
    <x v="1"/>
    <x v="2"/>
    <x v="0"/>
    <x v="16"/>
    <x v="2"/>
    <x v="9"/>
    <x v="1"/>
  </r>
  <r>
    <x v="1716"/>
    <x v="15"/>
    <x v="3"/>
    <n v="59.1"/>
    <n v="413.7"/>
    <x v="62"/>
    <x v="63"/>
    <s v="F"/>
    <x v="3"/>
    <x v="0"/>
    <x v="0"/>
    <x v="25"/>
    <x v="3"/>
    <x v="9"/>
    <x v="2"/>
  </r>
  <r>
    <x v="1717"/>
    <x v="4"/>
    <x v="0"/>
    <n v="21.2"/>
    <n v="21.2"/>
    <x v="62"/>
    <x v="63"/>
    <s v="F"/>
    <x v="0"/>
    <x v="1"/>
    <x v="0"/>
    <x v="6"/>
    <x v="3"/>
    <x v="9"/>
    <x v="2"/>
  </r>
  <r>
    <x v="1718"/>
    <x v="6"/>
    <x v="1"/>
    <n v="68.8"/>
    <n v="137.6"/>
    <x v="62"/>
    <x v="60"/>
    <s v="F"/>
    <x v="3"/>
    <x v="2"/>
    <x v="0"/>
    <x v="6"/>
    <x v="0"/>
    <x v="9"/>
    <x v="2"/>
  </r>
  <r>
    <x v="1719"/>
    <x v="6"/>
    <x v="1"/>
    <n v="65.400000000000006"/>
    <n v="130.80000000000001"/>
    <x v="62"/>
    <x v="70"/>
    <s v="F"/>
    <x v="0"/>
    <x v="0"/>
    <x v="0"/>
    <x v="6"/>
    <x v="5"/>
    <x v="9"/>
    <x v="2"/>
  </r>
  <r>
    <x v="1720"/>
    <x v="12"/>
    <x v="9"/>
    <n v="66.3"/>
    <n v="331.5"/>
    <x v="63"/>
    <x v="70"/>
    <s v="F"/>
    <x v="4"/>
    <x v="0"/>
    <x v="0"/>
    <x v="6"/>
    <x v="2"/>
    <x v="9"/>
    <x v="2"/>
  </r>
  <r>
    <x v="1721"/>
    <x v="6"/>
    <x v="2"/>
    <n v="97.5"/>
    <n v="292.5"/>
    <x v="63"/>
    <x v="63"/>
    <s v="M"/>
    <x v="3"/>
    <x v="0"/>
    <x v="0"/>
    <x v="8"/>
    <x v="7"/>
    <x v="9"/>
    <x v="1"/>
  </r>
  <r>
    <x v="1722"/>
    <x v="1"/>
    <x v="1"/>
    <n v="44"/>
    <n v="88"/>
    <x v="63"/>
    <x v="70"/>
    <s v="F"/>
    <x v="1"/>
    <x v="2"/>
    <x v="0"/>
    <x v="8"/>
    <x v="2"/>
    <x v="9"/>
    <x v="2"/>
  </r>
  <r>
    <x v="1723"/>
    <x v="0"/>
    <x v="0"/>
    <n v="21.9"/>
    <n v="21.9"/>
    <x v="63"/>
    <x v="66"/>
    <s v="M"/>
    <x v="0"/>
    <x v="0"/>
    <x v="0"/>
    <x v="8"/>
    <x v="3"/>
    <x v="9"/>
    <x v="1"/>
  </r>
  <r>
    <x v="1724"/>
    <x v="4"/>
    <x v="3"/>
    <n v="21.5"/>
    <n v="150.5"/>
    <x v="63"/>
    <x v="68"/>
    <s v="F"/>
    <x v="1"/>
    <x v="2"/>
    <x v="0"/>
    <x v="9"/>
    <x v="1"/>
    <x v="9"/>
    <x v="2"/>
  </r>
  <r>
    <x v="1725"/>
    <x v="12"/>
    <x v="13"/>
    <n v="133"/>
    <n v="798"/>
    <x v="63"/>
    <x v="66"/>
    <s v="O"/>
    <x v="0"/>
    <x v="2"/>
    <x v="0"/>
    <x v="10"/>
    <x v="3"/>
    <x v="9"/>
    <x v="3"/>
  </r>
  <r>
    <x v="1726"/>
    <x v="8"/>
    <x v="1"/>
    <n v="47.7"/>
    <n v="95.4"/>
    <x v="63"/>
    <x v="60"/>
    <s v="M"/>
    <x v="0"/>
    <x v="2"/>
    <x v="0"/>
    <x v="10"/>
    <x v="5"/>
    <x v="9"/>
    <x v="1"/>
  </r>
  <r>
    <x v="1727"/>
    <x v="16"/>
    <x v="2"/>
    <n v="58.1"/>
    <n v="174.3"/>
    <x v="63"/>
    <x v="66"/>
    <s v="F"/>
    <x v="0"/>
    <x v="0"/>
    <x v="0"/>
    <x v="11"/>
    <x v="3"/>
    <x v="9"/>
    <x v="2"/>
  </r>
  <r>
    <x v="1728"/>
    <x v="12"/>
    <x v="12"/>
    <n v="66.599999999999994"/>
    <n v="266.39999999999998"/>
    <x v="63"/>
    <x v="66"/>
    <s v=""/>
    <x v="0"/>
    <x v="0"/>
    <x v="0"/>
    <x v="11"/>
    <x v="3"/>
    <x v="9"/>
    <x v="0"/>
  </r>
  <r>
    <x v="1729"/>
    <x v="9"/>
    <x v="0"/>
    <n v="24.1"/>
    <n v="24.1"/>
    <x v="63"/>
    <x v="70"/>
    <s v="M"/>
    <x v="2"/>
    <x v="1"/>
    <x v="0"/>
    <x v="19"/>
    <x v="2"/>
    <x v="9"/>
    <x v="1"/>
  </r>
  <r>
    <x v="1730"/>
    <x v="10"/>
    <x v="9"/>
    <n v="51.5"/>
    <n v="257.5"/>
    <x v="63"/>
    <x v="65"/>
    <s v="F"/>
    <x v="0"/>
    <x v="0"/>
    <x v="0"/>
    <x v="13"/>
    <x v="0"/>
    <x v="9"/>
    <x v="2"/>
  </r>
  <r>
    <x v="1731"/>
    <x v="0"/>
    <x v="5"/>
    <n v="25.8"/>
    <n v="283.8"/>
    <x v="63"/>
    <x v="60"/>
    <s v="F"/>
    <x v="3"/>
    <x v="4"/>
    <x v="0"/>
    <x v="21"/>
    <x v="5"/>
    <x v="9"/>
    <x v="2"/>
  </r>
  <r>
    <x v="1732"/>
    <x v="9"/>
    <x v="12"/>
    <n v="47.7"/>
    <n v="190.8"/>
    <x v="63"/>
    <x v="63"/>
    <s v="F"/>
    <x v="0"/>
    <x v="1"/>
    <x v="0"/>
    <x v="21"/>
    <x v="7"/>
    <x v="9"/>
    <x v="2"/>
  </r>
  <r>
    <x v="1733"/>
    <x v="7"/>
    <x v="9"/>
    <n v="73.599999999999994"/>
    <n v="368"/>
    <x v="63"/>
    <x v="60"/>
    <s v="M"/>
    <x v="1"/>
    <x v="0"/>
    <x v="0"/>
    <x v="21"/>
    <x v="5"/>
    <x v="9"/>
    <x v="1"/>
  </r>
  <r>
    <x v="1734"/>
    <x v="5"/>
    <x v="3"/>
    <n v="91.2"/>
    <n v="638.4"/>
    <x v="63"/>
    <x v="66"/>
    <s v="M"/>
    <x v="1"/>
    <x v="2"/>
    <x v="0"/>
    <x v="21"/>
    <x v="3"/>
    <x v="9"/>
    <x v="1"/>
  </r>
  <r>
    <x v="1735"/>
    <x v="1"/>
    <x v="8"/>
    <n v="36.200000000000003"/>
    <n v="289.60000000000002"/>
    <x v="63"/>
    <x v="63"/>
    <s v="M"/>
    <x v="2"/>
    <x v="2"/>
    <x v="0"/>
    <x v="1"/>
    <x v="7"/>
    <x v="9"/>
    <x v="1"/>
  </r>
  <r>
    <x v="1736"/>
    <x v="9"/>
    <x v="8"/>
    <n v="98"/>
    <n v="784"/>
    <x v="63"/>
    <x v="60"/>
    <s v="F"/>
    <x v="2"/>
    <x v="0"/>
    <x v="0"/>
    <x v="2"/>
    <x v="5"/>
    <x v="9"/>
    <x v="2"/>
  </r>
  <r>
    <x v="1737"/>
    <x v="1"/>
    <x v="8"/>
    <n v="43.6"/>
    <n v="348.8"/>
    <x v="63"/>
    <x v="66"/>
    <s v="F"/>
    <x v="2"/>
    <x v="0"/>
    <x v="0"/>
    <x v="22"/>
    <x v="3"/>
    <x v="9"/>
    <x v="2"/>
  </r>
  <r>
    <x v="1738"/>
    <x v="8"/>
    <x v="7"/>
    <n v="37.799999999999997"/>
    <n v="378"/>
    <x v="63"/>
    <x v="63"/>
    <s v="O"/>
    <x v="0"/>
    <x v="0"/>
    <x v="0"/>
    <x v="50"/>
    <x v="7"/>
    <x v="9"/>
    <x v="3"/>
  </r>
  <r>
    <x v="1739"/>
    <x v="17"/>
    <x v="9"/>
    <n v="63.7"/>
    <n v="318.5"/>
    <x v="63"/>
    <x v="70"/>
    <s v="F"/>
    <x v="2"/>
    <x v="1"/>
    <x v="0"/>
    <x v="3"/>
    <x v="2"/>
    <x v="9"/>
    <x v="2"/>
  </r>
  <r>
    <x v="1740"/>
    <x v="5"/>
    <x v="11"/>
    <n v="62.9"/>
    <n v="566.1"/>
    <x v="63"/>
    <x v="65"/>
    <s v="M"/>
    <x v="3"/>
    <x v="2"/>
    <x v="0"/>
    <x v="3"/>
    <x v="0"/>
    <x v="9"/>
    <x v="1"/>
  </r>
  <r>
    <x v="1741"/>
    <x v="6"/>
    <x v="3"/>
    <n v="61.7"/>
    <n v="431.90000000000003"/>
    <x v="63"/>
    <x v="70"/>
    <s v="F"/>
    <x v="2"/>
    <x v="2"/>
    <x v="0"/>
    <x v="3"/>
    <x v="2"/>
    <x v="9"/>
    <x v="2"/>
  </r>
  <r>
    <x v="1742"/>
    <x v="18"/>
    <x v="21"/>
    <n v="36.5"/>
    <n v="511"/>
    <x v="63"/>
    <x v="66"/>
    <s v="M"/>
    <x v="0"/>
    <x v="2"/>
    <x v="0"/>
    <x v="3"/>
    <x v="3"/>
    <x v="9"/>
    <x v="1"/>
  </r>
  <r>
    <x v="1743"/>
    <x v="11"/>
    <x v="2"/>
    <n v="98.6"/>
    <n v="295.79999999999995"/>
    <x v="63"/>
    <x v="70"/>
    <s v="O"/>
    <x v="0"/>
    <x v="4"/>
    <x v="0"/>
    <x v="3"/>
    <x v="2"/>
    <x v="9"/>
    <x v="3"/>
  </r>
  <r>
    <x v="1744"/>
    <x v="8"/>
    <x v="1"/>
    <n v="19.2"/>
    <n v="38.4"/>
    <x v="63"/>
    <x v="72"/>
    <s v="M"/>
    <x v="0"/>
    <x v="0"/>
    <x v="0"/>
    <x v="3"/>
    <x v="14"/>
    <x v="9"/>
    <x v="1"/>
  </r>
  <r>
    <x v="1745"/>
    <x v="3"/>
    <x v="13"/>
    <n v="55.6"/>
    <n v="333.6"/>
    <x v="63"/>
    <x v="60"/>
    <s v="F"/>
    <x v="0"/>
    <x v="2"/>
    <x v="0"/>
    <x v="3"/>
    <x v="5"/>
    <x v="9"/>
    <x v="2"/>
  </r>
  <r>
    <x v="1746"/>
    <x v="5"/>
    <x v="13"/>
    <n v="56.4"/>
    <n v="338.4"/>
    <x v="63"/>
    <x v="66"/>
    <s v="F"/>
    <x v="1"/>
    <x v="0"/>
    <x v="0"/>
    <x v="3"/>
    <x v="3"/>
    <x v="9"/>
    <x v="2"/>
  </r>
  <r>
    <x v="1747"/>
    <x v="4"/>
    <x v="8"/>
    <n v="43.1"/>
    <n v="344.8"/>
    <x v="63"/>
    <x v="60"/>
    <s v="F"/>
    <x v="4"/>
    <x v="0"/>
    <x v="0"/>
    <x v="3"/>
    <x v="5"/>
    <x v="9"/>
    <x v="2"/>
  </r>
  <r>
    <x v="1748"/>
    <x v="1"/>
    <x v="1"/>
    <n v="77.3"/>
    <n v="154.6"/>
    <x v="63"/>
    <x v="68"/>
    <s v="M"/>
    <x v="0"/>
    <x v="0"/>
    <x v="0"/>
    <x v="6"/>
    <x v="1"/>
    <x v="9"/>
    <x v="1"/>
  </r>
  <r>
    <x v="1749"/>
    <x v="9"/>
    <x v="8"/>
    <n v="38.299999999999997"/>
    <n v="306.39999999999998"/>
    <x v="63"/>
    <x v="66"/>
    <s v="M"/>
    <x v="0"/>
    <x v="0"/>
    <x v="0"/>
    <x v="7"/>
    <x v="3"/>
    <x v="9"/>
    <x v="1"/>
  </r>
  <r>
    <x v="1750"/>
    <x v="0"/>
    <x v="3"/>
    <n v="16.8"/>
    <n v="117.60000000000001"/>
    <x v="63"/>
    <x v="70"/>
    <s v="M"/>
    <x v="2"/>
    <x v="1"/>
    <x v="0"/>
    <x v="8"/>
    <x v="2"/>
    <x v="9"/>
    <x v="1"/>
  </r>
  <r>
    <x v="1751"/>
    <x v="2"/>
    <x v="2"/>
    <n v="63.2"/>
    <n v="189.60000000000002"/>
    <x v="63"/>
    <x v="66"/>
    <s v="F"/>
    <x v="0"/>
    <x v="2"/>
    <x v="0"/>
    <x v="8"/>
    <x v="3"/>
    <x v="9"/>
    <x v="2"/>
  </r>
  <r>
    <x v="1752"/>
    <x v="14"/>
    <x v="44"/>
    <n v="39.700000000000003"/>
    <n v="913.1"/>
    <x v="63"/>
    <x v="66"/>
    <s v="M"/>
    <x v="0"/>
    <x v="0"/>
    <x v="0"/>
    <x v="8"/>
    <x v="3"/>
    <x v="9"/>
    <x v="1"/>
  </r>
  <r>
    <x v="1753"/>
    <x v="10"/>
    <x v="2"/>
    <n v="45.8"/>
    <n v="137.39999999999998"/>
    <x v="63"/>
    <x v="66"/>
    <s v="F"/>
    <x v="1"/>
    <x v="2"/>
    <x v="0"/>
    <x v="8"/>
    <x v="3"/>
    <x v="9"/>
    <x v="2"/>
  </r>
  <r>
    <x v="1754"/>
    <x v="0"/>
    <x v="13"/>
    <n v="12.4"/>
    <n v="74.400000000000006"/>
    <x v="63"/>
    <x v="70"/>
    <s v="M"/>
    <x v="0"/>
    <x v="0"/>
    <x v="0"/>
    <x v="8"/>
    <x v="2"/>
    <x v="9"/>
    <x v="1"/>
  </r>
  <r>
    <x v="1755"/>
    <x v="14"/>
    <x v="2"/>
    <n v="50.8"/>
    <n v="152.39999999999998"/>
    <x v="64"/>
    <x v="66"/>
    <s v="F"/>
    <x v="4"/>
    <x v="0"/>
    <x v="0"/>
    <x v="17"/>
    <x v="7"/>
    <x v="9"/>
    <x v="2"/>
  </r>
  <r>
    <x v="1756"/>
    <x v="9"/>
    <x v="0"/>
    <n v="76"/>
    <n v="76"/>
    <x v="64"/>
    <x v="65"/>
    <s v="O"/>
    <x v="2"/>
    <x v="2"/>
    <x v="0"/>
    <x v="17"/>
    <x v="5"/>
    <x v="9"/>
    <x v="3"/>
  </r>
  <r>
    <x v="1757"/>
    <x v="1"/>
    <x v="1"/>
    <n v="51.9"/>
    <n v="103.8"/>
    <x v="64"/>
    <x v="68"/>
    <s v="M"/>
    <x v="1"/>
    <x v="2"/>
    <x v="0"/>
    <x v="26"/>
    <x v="3"/>
    <x v="9"/>
    <x v="1"/>
  </r>
  <r>
    <x v="1758"/>
    <x v="2"/>
    <x v="1"/>
    <n v="93.4"/>
    <n v="186.8"/>
    <x v="64"/>
    <x v="64"/>
    <s v="M"/>
    <x v="0"/>
    <x v="3"/>
    <x v="0"/>
    <x v="11"/>
    <x v="6"/>
    <x v="9"/>
    <x v="1"/>
  </r>
  <r>
    <x v="1759"/>
    <x v="7"/>
    <x v="13"/>
    <n v="30.8"/>
    <n v="184.8"/>
    <x v="64"/>
    <x v="60"/>
    <s v="F"/>
    <x v="1"/>
    <x v="0"/>
    <x v="0"/>
    <x v="11"/>
    <x v="2"/>
    <x v="9"/>
    <x v="2"/>
  </r>
  <r>
    <x v="1760"/>
    <x v="2"/>
    <x v="0"/>
    <n v="143.19999999999999"/>
    <n v="143.19999999999999"/>
    <x v="64"/>
    <x v="60"/>
    <s v="M"/>
    <x v="2"/>
    <x v="0"/>
    <x v="0"/>
    <x v="11"/>
    <x v="2"/>
    <x v="9"/>
    <x v="1"/>
  </r>
  <r>
    <x v="1761"/>
    <x v="6"/>
    <x v="5"/>
    <n v="40.4"/>
    <n v="444.4"/>
    <x v="64"/>
    <x v="70"/>
    <s v="M"/>
    <x v="2"/>
    <x v="2"/>
    <x v="0"/>
    <x v="18"/>
    <x v="1"/>
    <x v="9"/>
    <x v="1"/>
  </r>
  <r>
    <x v="1762"/>
    <x v="2"/>
    <x v="10"/>
    <n v="131.5"/>
    <n v="2498.5"/>
    <x v="64"/>
    <x v="70"/>
    <s v="M"/>
    <x v="1"/>
    <x v="1"/>
    <x v="0"/>
    <x v="18"/>
    <x v="1"/>
    <x v="9"/>
    <x v="1"/>
  </r>
  <r>
    <x v="1763"/>
    <x v="18"/>
    <x v="3"/>
    <n v="61.6"/>
    <n v="431.2"/>
    <x v="64"/>
    <x v="68"/>
    <s v="M"/>
    <x v="2"/>
    <x v="0"/>
    <x v="0"/>
    <x v="21"/>
    <x v="3"/>
    <x v="9"/>
    <x v="1"/>
  </r>
  <r>
    <x v="1764"/>
    <x v="9"/>
    <x v="9"/>
    <n v="32.700000000000003"/>
    <n v="163.5"/>
    <x v="64"/>
    <x v="70"/>
    <s v="M"/>
    <x v="2"/>
    <x v="0"/>
    <x v="0"/>
    <x v="1"/>
    <x v="1"/>
    <x v="9"/>
    <x v="1"/>
  </r>
  <r>
    <x v="1765"/>
    <x v="0"/>
    <x v="7"/>
    <n v="13.7"/>
    <n v="137"/>
    <x v="64"/>
    <x v="68"/>
    <s v="M"/>
    <x v="0"/>
    <x v="2"/>
    <x v="0"/>
    <x v="3"/>
    <x v="3"/>
    <x v="9"/>
    <x v="1"/>
  </r>
  <r>
    <x v="1766"/>
    <x v="0"/>
    <x v="12"/>
    <n v="32.1"/>
    <n v="128.4"/>
    <x v="64"/>
    <x v="68"/>
    <s v="M"/>
    <x v="4"/>
    <x v="1"/>
    <x v="0"/>
    <x v="3"/>
    <x v="3"/>
    <x v="9"/>
    <x v="1"/>
  </r>
  <r>
    <x v="1767"/>
    <x v="14"/>
    <x v="8"/>
    <n v="12"/>
    <n v="96"/>
    <x v="64"/>
    <x v="68"/>
    <s v="M"/>
    <x v="1"/>
    <x v="0"/>
    <x v="0"/>
    <x v="24"/>
    <x v="3"/>
    <x v="9"/>
    <x v="1"/>
  </r>
  <r>
    <x v="1768"/>
    <x v="12"/>
    <x v="0"/>
    <n v="64.3"/>
    <n v="64.3"/>
    <x v="64"/>
    <x v="70"/>
    <s v="F"/>
    <x v="2"/>
    <x v="2"/>
    <x v="0"/>
    <x v="6"/>
    <x v="1"/>
    <x v="9"/>
    <x v="2"/>
  </r>
  <r>
    <x v="1769"/>
    <x v="1"/>
    <x v="2"/>
    <n v="58.2"/>
    <n v="174.60000000000002"/>
    <x v="64"/>
    <x v="70"/>
    <s v="F"/>
    <x v="1"/>
    <x v="2"/>
    <x v="0"/>
    <x v="6"/>
    <x v="1"/>
    <x v="9"/>
    <x v="2"/>
  </r>
  <r>
    <x v="1770"/>
    <x v="6"/>
    <x v="12"/>
    <n v="59.2"/>
    <n v="236.8"/>
    <x v="64"/>
    <x v="66"/>
    <s v="M"/>
    <x v="1"/>
    <x v="2"/>
    <x v="0"/>
    <x v="6"/>
    <x v="7"/>
    <x v="9"/>
    <x v="1"/>
  </r>
  <r>
    <x v="1771"/>
    <x v="10"/>
    <x v="5"/>
    <n v="35.6"/>
    <n v="391.6"/>
    <x v="64"/>
    <x v="64"/>
    <s v="M"/>
    <x v="0"/>
    <x v="2"/>
    <x v="0"/>
    <x v="8"/>
    <x v="6"/>
    <x v="9"/>
    <x v="1"/>
  </r>
  <r>
    <x v="1772"/>
    <x v="16"/>
    <x v="8"/>
    <n v="37"/>
    <n v="296"/>
    <x v="64"/>
    <x v="65"/>
    <s v="F"/>
    <x v="2"/>
    <x v="1"/>
    <x v="0"/>
    <x v="8"/>
    <x v="5"/>
    <x v="9"/>
    <x v="2"/>
  </r>
  <r>
    <x v="1773"/>
    <x v="1"/>
    <x v="15"/>
    <n v="80.8"/>
    <n v="1050.3999999999999"/>
    <x v="64"/>
    <x v="70"/>
    <s v="F"/>
    <x v="0"/>
    <x v="0"/>
    <x v="0"/>
    <x v="8"/>
    <x v="1"/>
    <x v="9"/>
    <x v="2"/>
  </r>
  <r>
    <x v="1774"/>
    <x v="8"/>
    <x v="1"/>
    <n v="63.2"/>
    <n v="126.4"/>
    <x v="64"/>
    <x v="68"/>
    <s v="M"/>
    <x v="0"/>
    <x v="1"/>
    <x v="0"/>
    <x v="8"/>
    <x v="3"/>
    <x v="9"/>
    <x v="1"/>
  </r>
  <r>
    <x v="1775"/>
    <x v="3"/>
    <x v="1"/>
    <n v="40.799999999999997"/>
    <n v="81.599999999999994"/>
    <x v="64"/>
    <x v="70"/>
    <s v="M"/>
    <x v="0"/>
    <x v="1"/>
    <x v="0"/>
    <x v="17"/>
    <x v="1"/>
    <x v="9"/>
    <x v="1"/>
  </r>
  <r>
    <x v="1776"/>
    <x v="13"/>
    <x v="13"/>
    <n v="25.7"/>
    <n v="154.19999999999999"/>
    <x v="64"/>
    <x v="70"/>
    <s v="M"/>
    <x v="4"/>
    <x v="0"/>
    <x v="0"/>
    <x v="18"/>
    <x v="1"/>
    <x v="9"/>
    <x v="1"/>
  </r>
  <r>
    <x v="1777"/>
    <x v="16"/>
    <x v="1"/>
    <n v="49.9"/>
    <n v="99.8"/>
    <x v="64"/>
    <x v="60"/>
    <s v="M"/>
    <x v="0"/>
    <x v="0"/>
    <x v="0"/>
    <x v="20"/>
    <x v="2"/>
    <x v="9"/>
    <x v="1"/>
  </r>
  <r>
    <x v="1778"/>
    <x v="8"/>
    <x v="1"/>
    <n v="20.2"/>
    <n v="40.4"/>
    <x v="64"/>
    <x v="70"/>
    <s v="F"/>
    <x v="3"/>
    <x v="0"/>
    <x v="0"/>
    <x v="21"/>
    <x v="1"/>
    <x v="9"/>
    <x v="2"/>
  </r>
  <r>
    <x v="1779"/>
    <x v="6"/>
    <x v="2"/>
    <n v="48.4"/>
    <n v="145.19999999999999"/>
    <x v="64"/>
    <x v="71"/>
    <s v="F"/>
    <x v="0"/>
    <x v="2"/>
    <x v="0"/>
    <x v="21"/>
    <x v="0"/>
    <x v="9"/>
    <x v="2"/>
  </r>
  <r>
    <x v="1780"/>
    <x v="6"/>
    <x v="1"/>
    <n v="81"/>
    <n v="162"/>
    <x v="64"/>
    <x v="68"/>
    <s v="F"/>
    <x v="1"/>
    <x v="2"/>
    <x v="0"/>
    <x v="21"/>
    <x v="3"/>
    <x v="9"/>
    <x v="2"/>
  </r>
  <r>
    <x v="1781"/>
    <x v="8"/>
    <x v="13"/>
    <n v="19.899999999999999"/>
    <n v="119.39999999999999"/>
    <x v="64"/>
    <x v="60"/>
    <s v="F"/>
    <x v="0"/>
    <x v="1"/>
    <x v="0"/>
    <x v="22"/>
    <x v="2"/>
    <x v="9"/>
    <x v="2"/>
  </r>
  <r>
    <x v="1782"/>
    <x v="4"/>
    <x v="12"/>
    <n v="32.200000000000003"/>
    <n v="128.80000000000001"/>
    <x v="64"/>
    <x v="69"/>
    <s v="M"/>
    <x v="0"/>
    <x v="0"/>
    <x v="0"/>
    <x v="22"/>
    <x v="14"/>
    <x v="9"/>
    <x v="1"/>
  </r>
  <r>
    <x v="1783"/>
    <x v="5"/>
    <x v="2"/>
    <n v="76.8"/>
    <n v="230.39999999999998"/>
    <x v="64"/>
    <x v="68"/>
    <s v="F"/>
    <x v="0"/>
    <x v="1"/>
    <x v="0"/>
    <x v="3"/>
    <x v="3"/>
    <x v="9"/>
    <x v="2"/>
  </r>
  <r>
    <x v="1784"/>
    <x v="6"/>
    <x v="1"/>
    <n v="41.9"/>
    <n v="83.8"/>
    <x v="64"/>
    <x v="70"/>
    <s v="F"/>
    <x v="0"/>
    <x v="0"/>
    <x v="0"/>
    <x v="3"/>
    <x v="1"/>
    <x v="9"/>
    <x v="2"/>
  </r>
  <r>
    <x v="1785"/>
    <x v="0"/>
    <x v="3"/>
    <n v="34"/>
    <n v="238"/>
    <x v="64"/>
    <x v="70"/>
    <s v="F"/>
    <x v="1"/>
    <x v="2"/>
    <x v="0"/>
    <x v="3"/>
    <x v="1"/>
    <x v="9"/>
    <x v="2"/>
  </r>
  <r>
    <x v="1786"/>
    <x v="7"/>
    <x v="3"/>
    <n v="61.3"/>
    <n v="429.09999999999997"/>
    <x v="64"/>
    <x v="66"/>
    <s v="F"/>
    <x v="4"/>
    <x v="2"/>
    <x v="0"/>
    <x v="3"/>
    <x v="7"/>
    <x v="9"/>
    <x v="2"/>
  </r>
  <r>
    <x v="1787"/>
    <x v="9"/>
    <x v="0"/>
    <n v="54.7"/>
    <n v="54.7"/>
    <x v="65"/>
    <x v="70"/>
    <s v="M"/>
    <x v="0"/>
    <x v="1"/>
    <x v="0"/>
    <x v="3"/>
    <x v="3"/>
    <x v="9"/>
    <x v="1"/>
  </r>
  <r>
    <x v="1788"/>
    <x v="6"/>
    <x v="7"/>
    <n v="84.7"/>
    <n v="847"/>
    <x v="65"/>
    <x v="71"/>
    <s v="F"/>
    <x v="0"/>
    <x v="0"/>
    <x v="0"/>
    <x v="3"/>
    <x v="5"/>
    <x v="9"/>
    <x v="2"/>
  </r>
  <r>
    <x v="1789"/>
    <x v="1"/>
    <x v="2"/>
    <n v="93.4"/>
    <n v="280.20000000000005"/>
    <x v="65"/>
    <x v="71"/>
    <s v="F"/>
    <x v="3"/>
    <x v="0"/>
    <x v="0"/>
    <x v="3"/>
    <x v="5"/>
    <x v="9"/>
    <x v="2"/>
  </r>
  <r>
    <x v="1790"/>
    <x v="8"/>
    <x v="9"/>
    <n v="27"/>
    <n v="135"/>
    <x v="65"/>
    <x v="65"/>
    <s v="M"/>
    <x v="0"/>
    <x v="1"/>
    <x v="0"/>
    <x v="3"/>
    <x v="2"/>
    <x v="9"/>
    <x v="1"/>
  </r>
  <r>
    <x v="1791"/>
    <x v="0"/>
    <x v="12"/>
    <n v="10.9"/>
    <n v="43.6"/>
    <x v="65"/>
    <x v="70"/>
    <s v="M"/>
    <x v="2"/>
    <x v="0"/>
    <x v="0"/>
    <x v="3"/>
    <x v="3"/>
    <x v="9"/>
    <x v="1"/>
  </r>
  <r>
    <x v="1792"/>
    <x v="16"/>
    <x v="2"/>
    <n v="48"/>
    <n v="144"/>
    <x v="65"/>
    <x v="74"/>
    <s v="F"/>
    <x v="4"/>
    <x v="0"/>
    <x v="0"/>
    <x v="3"/>
    <x v="0"/>
    <x v="9"/>
    <x v="2"/>
  </r>
  <r>
    <x v="1793"/>
    <x v="5"/>
    <x v="1"/>
    <n v="67.900000000000006"/>
    <n v="135.80000000000001"/>
    <x v="65"/>
    <x v="70"/>
    <s v="M"/>
    <x v="0"/>
    <x v="2"/>
    <x v="0"/>
    <x v="23"/>
    <x v="3"/>
    <x v="9"/>
    <x v="1"/>
  </r>
  <r>
    <x v="1794"/>
    <x v="4"/>
    <x v="2"/>
    <n v="36"/>
    <n v="108"/>
    <x v="65"/>
    <x v="70"/>
    <s v="M"/>
    <x v="1"/>
    <x v="0"/>
    <x v="0"/>
    <x v="6"/>
    <x v="3"/>
    <x v="9"/>
    <x v="1"/>
  </r>
  <r>
    <x v="1795"/>
    <x v="2"/>
    <x v="0"/>
    <n v="128.80000000000001"/>
    <n v="128.80000000000001"/>
    <x v="65"/>
    <x v="70"/>
    <s v="M"/>
    <x v="4"/>
    <x v="2"/>
    <x v="0"/>
    <x v="6"/>
    <x v="3"/>
    <x v="9"/>
    <x v="1"/>
  </r>
  <r>
    <x v="1796"/>
    <x v="18"/>
    <x v="3"/>
    <n v="33.299999999999997"/>
    <n v="233.09999999999997"/>
    <x v="65"/>
    <x v="70"/>
    <s v="F"/>
    <x v="3"/>
    <x v="0"/>
    <x v="0"/>
    <x v="8"/>
    <x v="3"/>
    <x v="9"/>
    <x v="2"/>
  </r>
  <r>
    <x v="1797"/>
    <x v="10"/>
    <x v="2"/>
    <n v="37.799999999999997"/>
    <n v="113.39999999999999"/>
    <x v="65"/>
    <x v="60"/>
    <s v="M"/>
    <x v="1"/>
    <x v="2"/>
    <x v="0"/>
    <x v="8"/>
    <x v="1"/>
    <x v="9"/>
    <x v="1"/>
  </r>
  <r>
    <x v="1798"/>
    <x v="5"/>
    <x v="2"/>
    <n v="26"/>
    <n v="78"/>
    <x v="65"/>
    <x v="74"/>
    <s v="F"/>
    <x v="0"/>
    <x v="0"/>
    <x v="0"/>
    <x v="8"/>
    <x v="0"/>
    <x v="9"/>
    <x v="2"/>
  </r>
  <r>
    <x v="1799"/>
    <x v="8"/>
    <x v="10"/>
    <n v="28.3"/>
    <n v="537.70000000000005"/>
    <x v="65"/>
    <x v="70"/>
    <s v="F"/>
    <x v="3"/>
    <x v="4"/>
    <x v="0"/>
    <x v="8"/>
    <x v="3"/>
    <x v="9"/>
    <x v="2"/>
  </r>
  <r>
    <x v="1800"/>
    <x v="8"/>
    <x v="12"/>
    <n v="31.3"/>
    <n v="125.2"/>
    <x v="65"/>
    <x v="68"/>
    <s v="F"/>
    <x v="0"/>
    <x v="0"/>
    <x v="0"/>
    <x v="8"/>
    <x v="7"/>
    <x v="9"/>
    <x v="2"/>
  </r>
  <r>
    <x v="1801"/>
    <x v="7"/>
    <x v="2"/>
    <n v="69.5"/>
    <n v="208.5"/>
    <x v="65"/>
    <x v="70"/>
    <s v="F"/>
    <x v="3"/>
    <x v="2"/>
    <x v="0"/>
    <x v="8"/>
    <x v="3"/>
    <x v="9"/>
    <x v="2"/>
  </r>
  <r>
    <x v="1802"/>
    <x v="0"/>
    <x v="1"/>
    <n v="16.7"/>
    <n v="33.4"/>
    <x v="65"/>
    <x v="70"/>
    <s v="F"/>
    <x v="3"/>
    <x v="1"/>
    <x v="0"/>
    <x v="8"/>
    <x v="3"/>
    <x v="9"/>
    <x v="2"/>
  </r>
  <r>
    <x v="1803"/>
    <x v="9"/>
    <x v="1"/>
    <n v="62.6"/>
    <n v="125.2"/>
    <x v="65"/>
    <x v="70"/>
    <s v="M"/>
    <x v="2"/>
    <x v="2"/>
    <x v="0"/>
    <x v="9"/>
    <x v="3"/>
    <x v="9"/>
    <x v="1"/>
  </r>
  <r>
    <x v="1804"/>
    <x v="7"/>
    <x v="0"/>
    <n v="81.2"/>
    <n v="81.2"/>
    <x v="65"/>
    <x v="64"/>
    <s v="M"/>
    <x v="4"/>
    <x v="4"/>
    <x v="0"/>
    <x v="9"/>
    <x v="4"/>
    <x v="9"/>
    <x v="1"/>
  </r>
  <r>
    <x v="1805"/>
    <x v="0"/>
    <x v="7"/>
    <n v="12.7"/>
    <n v="127"/>
    <x v="65"/>
    <x v="70"/>
    <s v="F"/>
    <x v="0"/>
    <x v="2"/>
    <x v="0"/>
    <x v="9"/>
    <x v="3"/>
    <x v="9"/>
    <x v="2"/>
  </r>
  <r>
    <x v="1806"/>
    <x v="7"/>
    <x v="12"/>
    <n v="77.7"/>
    <n v="310.8"/>
    <x v="66"/>
    <x v="74"/>
    <s v="M"/>
    <x v="1"/>
    <x v="0"/>
    <x v="0"/>
    <x v="11"/>
    <x v="5"/>
    <x v="9"/>
    <x v="1"/>
  </r>
  <r>
    <x v="1807"/>
    <x v="5"/>
    <x v="1"/>
    <n v="37.299999999999997"/>
    <n v="74.599999999999994"/>
    <x v="66"/>
    <x v="60"/>
    <s v="F"/>
    <x v="0"/>
    <x v="2"/>
    <x v="0"/>
    <x v="18"/>
    <x v="3"/>
    <x v="9"/>
    <x v="2"/>
  </r>
  <r>
    <x v="1808"/>
    <x v="10"/>
    <x v="12"/>
    <n v="35.6"/>
    <n v="142.4"/>
    <x v="66"/>
    <x v="65"/>
    <s v="F"/>
    <x v="1"/>
    <x v="1"/>
    <x v="0"/>
    <x v="19"/>
    <x v="1"/>
    <x v="9"/>
    <x v="2"/>
  </r>
  <r>
    <x v="1809"/>
    <x v="2"/>
    <x v="2"/>
    <n v="95"/>
    <n v="285"/>
    <x v="66"/>
    <x v="74"/>
    <s v="F"/>
    <x v="2"/>
    <x v="2"/>
    <x v="0"/>
    <x v="56"/>
    <x v="5"/>
    <x v="9"/>
    <x v="2"/>
  </r>
  <r>
    <x v="1810"/>
    <x v="2"/>
    <x v="12"/>
    <n v="172.1"/>
    <n v="688.4"/>
    <x v="66"/>
    <x v="74"/>
    <s v="O"/>
    <x v="2"/>
    <x v="2"/>
    <x v="0"/>
    <x v="21"/>
    <x v="5"/>
    <x v="9"/>
    <x v="3"/>
  </r>
  <r>
    <x v="1811"/>
    <x v="2"/>
    <x v="1"/>
    <n v="233"/>
    <n v="466"/>
    <x v="66"/>
    <x v="71"/>
    <s v="F"/>
    <x v="1"/>
    <x v="0"/>
    <x v="0"/>
    <x v="21"/>
    <x v="2"/>
    <x v="9"/>
    <x v="2"/>
  </r>
  <r>
    <x v="1812"/>
    <x v="0"/>
    <x v="0"/>
    <n v="43.5"/>
    <n v="43.5"/>
    <x v="66"/>
    <x v="60"/>
    <s v="F"/>
    <x v="2"/>
    <x v="2"/>
    <x v="0"/>
    <x v="21"/>
    <x v="3"/>
    <x v="9"/>
    <x v="2"/>
  </r>
  <r>
    <x v="1813"/>
    <x v="9"/>
    <x v="1"/>
    <n v="47.8"/>
    <n v="95.6"/>
    <x v="66"/>
    <x v="71"/>
    <s v="M"/>
    <x v="4"/>
    <x v="2"/>
    <x v="0"/>
    <x v="1"/>
    <x v="2"/>
    <x v="9"/>
    <x v="1"/>
  </r>
  <r>
    <x v="1814"/>
    <x v="12"/>
    <x v="1"/>
    <n v="65.8"/>
    <n v="131.6"/>
    <x v="66"/>
    <x v="65"/>
    <s v="F"/>
    <x v="0"/>
    <x v="3"/>
    <x v="0"/>
    <x v="33"/>
    <x v="1"/>
    <x v="9"/>
    <x v="2"/>
  </r>
  <r>
    <x v="1815"/>
    <x v="15"/>
    <x v="5"/>
    <n v="38.700000000000003"/>
    <n v="425.70000000000005"/>
    <x v="66"/>
    <x v="70"/>
    <s v="M"/>
    <x v="0"/>
    <x v="0"/>
    <x v="0"/>
    <x v="22"/>
    <x v="7"/>
    <x v="9"/>
    <x v="1"/>
  </r>
  <r>
    <x v="1816"/>
    <x v="3"/>
    <x v="12"/>
    <n v="55.7"/>
    <n v="222.8"/>
    <x v="66"/>
    <x v="65"/>
    <s v="O"/>
    <x v="0"/>
    <x v="1"/>
    <x v="0"/>
    <x v="22"/>
    <x v="1"/>
    <x v="9"/>
    <x v="3"/>
  </r>
  <r>
    <x v="1817"/>
    <x v="7"/>
    <x v="1"/>
    <n v="102.4"/>
    <n v="204.8"/>
    <x v="66"/>
    <x v="70"/>
    <s v="F"/>
    <x v="1"/>
    <x v="0"/>
    <x v="0"/>
    <x v="3"/>
    <x v="7"/>
    <x v="9"/>
    <x v="2"/>
  </r>
  <r>
    <x v="1818"/>
    <x v="1"/>
    <x v="0"/>
    <n v="92"/>
    <n v="92"/>
    <x v="66"/>
    <x v="74"/>
    <s v=""/>
    <x v="2"/>
    <x v="0"/>
    <x v="0"/>
    <x v="3"/>
    <x v="5"/>
    <x v="9"/>
    <x v="0"/>
  </r>
  <r>
    <x v="1819"/>
    <x v="6"/>
    <x v="12"/>
    <n v="75.900000000000006"/>
    <n v="303.60000000000002"/>
    <x v="66"/>
    <x v="65"/>
    <s v="F"/>
    <x v="1"/>
    <x v="0"/>
    <x v="0"/>
    <x v="3"/>
    <x v="1"/>
    <x v="9"/>
    <x v="2"/>
  </r>
  <r>
    <x v="1820"/>
    <x v="1"/>
    <x v="12"/>
    <n v="36.200000000000003"/>
    <n v="144.80000000000001"/>
    <x v="66"/>
    <x v="60"/>
    <s v="F"/>
    <x v="1"/>
    <x v="0"/>
    <x v="0"/>
    <x v="3"/>
    <x v="3"/>
    <x v="9"/>
    <x v="2"/>
  </r>
  <r>
    <x v="1821"/>
    <x v="6"/>
    <x v="45"/>
    <n v="83.5"/>
    <n v="7264.5"/>
    <x v="66"/>
    <x v="65"/>
    <s v=""/>
    <x v="3"/>
    <x v="0"/>
    <x v="0"/>
    <x v="3"/>
    <x v="1"/>
    <x v="9"/>
    <x v="0"/>
  </r>
  <r>
    <x v="1822"/>
    <x v="19"/>
    <x v="4"/>
    <n v="52.4"/>
    <n v="628.79999999999995"/>
    <x v="66"/>
    <x v="70"/>
    <s v="M"/>
    <x v="2"/>
    <x v="0"/>
    <x v="0"/>
    <x v="3"/>
    <x v="7"/>
    <x v="9"/>
    <x v="1"/>
  </r>
  <r>
    <x v="1823"/>
    <x v="12"/>
    <x v="2"/>
    <n v="69.5"/>
    <n v="208.5"/>
    <x v="66"/>
    <x v="60"/>
    <s v="O"/>
    <x v="4"/>
    <x v="0"/>
    <x v="0"/>
    <x v="3"/>
    <x v="3"/>
    <x v="9"/>
    <x v="3"/>
  </r>
  <r>
    <x v="1824"/>
    <x v="0"/>
    <x v="0"/>
    <n v="15.5"/>
    <n v="15.5"/>
    <x v="66"/>
    <x v="65"/>
    <s v="M"/>
    <x v="0"/>
    <x v="0"/>
    <x v="0"/>
    <x v="3"/>
    <x v="1"/>
    <x v="9"/>
    <x v="1"/>
  </r>
  <r>
    <x v="1825"/>
    <x v="4"/>
    <x v="12"/>
    <n v="35.200000000000003"/>
    <n v="140.80000000000001"/>
    <x v="66"/>
    <x v="60"/>
    <s v="F"/>
    <x v="2"/>
    <x v="2"/>
    <x v="0"/>
    <x v="3"/>
    <x v="3"/>
    <x v="9"/>
    <x v="2"/>
  </r>
  <r>
    <x v="1826"/>
    <x v="8"/>
    <x v="13"/>
    <n v="34.6"/>
    <n v="207.60000000000002"/>
    <x v="66"/>
    <x v="60"/>
    <s v=""/>
    <x v="0"/>
    <x v="1"/>
    <x v="0"/>
    <x v="3"/>
    <x v="3"/>
    <x v="9"/>
    <x v="0"/>
  </r>
  <r>
    <x v="1827"/>
    <x v="4"/>
    <x v="0"/>
    <n v="21.3"/>
    <n v="21.3"/>
    <x v="67"/>
    <x v="65"/>
    <s v="M"/>
    <x v="2"/>
    <x v="1"/>
    <x v="0"/>
    <x v="3"/>
    <x v="3"/>
    <x v="10"/>
    <x v="1"/>
  </r>
  <r>
    <x v="1828"/>
    <x v="6"/>
    <x v="1"/>
    <n v="136.5"/>
    <n v="273"/>
    <x v="67"/>
    <x v="72"/>
    <s v="F"/>
    <x v="0"/>
    <x v="0"/>
    <x v="0"/>
    <x v="37"/>
    <x v="4"/>
    <x v="10"/>
    <x v="2"/>
  </r>
  <r>
    <x v="1829"/>
    <x v="9"/>
    <x v="3"/>
    <n v="30.7"/>
    <n v="214.9"/>
    <x v="67"/>
    <x v="65"/>
    <s v="M"/>
    <x v="2"/>
    <x v="2"/>
    <x v="0"/>
    <x v="25"/>
    <x v="3"/>
    <x v="10"/>
    <x v="1"/>
  </r>
  <r>
    <x v="1830"/>
    <x v="1"/>
    <x v="1"/>
    <n v="61.6"/>
    <n v="123.2"/>
    <x v="67"/>
    <x v="65"/>
    <s v="F"/>
    <x v="2"/>
    <x v="2"/>
    <x v="0"/>
    <x v="23"/>
    <x v="3"/>
    <x v="10"/>
    <x v="2"/>
  </r>
  <r>
    <x v="1831"/>
    <x v="6"/>
    <x v="12"/>
    <n v="54.3"/>
    <n v="217.2"/>
    <x v="67"/>
    <x v="71"/>
    <s v=""/>
    <x v="4"/>
    <x v="0"/>
    <x v="0"/>
    <x v="7"/>
    <x v="1"/>
    <x v="10"/>
    <x v="0"/>
  </r>
  <r>
    <x v="1832"/>
    <x v="1"/>
    <x v="1"/>
    <n v="44.1"/>
    <n v="88.2"/>
    <x v="67"/>
    <x v="75"/>
    <s v="F"/>
    <x v="0"/>
    <x v="2"/>
    <x v="0"/>
    <x v="8"/>
    <x v="13"/>
    <x v="10"/>
    <x v="2"/>
  </r>
  <r>
    <x v="1833"/>
    <x v="8"/>
    <x v="12"/>
    <n v="43.5"/>
    <n v="174"/>
    <x v="67"/>
    <x v="72"/>
    <s v="M"/>
    <x v="3"/>
    <x v="0"/>
    <x v="0"/>
    <x v="8"/>
    <x v="4"/>
    <x v="10"/>
    <x v="1"/>
  </r>
  <r>
    <x v="1834"/>
    <x v="8"/>
    <x v="2"/>
    <n v="48.2"/>
    <n v="144.60000000000002"/>
    <x v="67"/>
    <x v="64"/>
    <s v="M"/>
    <x v="3"/>
    <x v="1"/>
    <x v="0"/>
    <x v="8"/>
    <x v="5"/>
    <x v="10"/>
    <x v="1"/>
  </r>
  <r>
    <x v="1835"/>
    <x v="19"/>
    <x v="0"/>
    <n v="13.7"/>
    <n v="13.7"/>
    <x v="67"/>
    <x v="65"/>
    <s v="F"/>
    <x v="2"/>
    <x v="2"/>
    <x v="0"/>
    <x v="8"/>
    <x v="3"/>
    <x v="10"/>
    <x v="2"/>
  </r>
  <r>
    <x v="1836"/>
    <x v="2"/>
    <x v="1"/>
    <n v="110.5"/>
    <n v="221"/>
    <x v="67"/>
    <x v="65"/>
    <s v="F"/>
    <x v="0"/>
    <x v="1"/>
    <x v="0"/>
    <x v="8"/>
    <x v="3"/>
    <x v="10"/>
    <x v="2"/>
  </r>
  <r>
    <x v="1837"/>
    <x v="8"/>
    <x v="2"/>
    <n v="26"/>
    <n v="78"/>
    <x v="67"/>
    <x v="67"/>
    <s v="F"/>
    <x v="1"/>
    <x v="1"/>
    <x v="0"/>
    <x v="8"/>
    <x v="0"/>
    <x v="10"/>
    <x v="2"/>
  </r>
  <r>
    <x v="1838"/>
    <x v="2"/>
    <x v="7"/>
    <n v="140.69999999999999"/>
    <n v="1407"/>
    <x v="67"/>
    <x v="72"/>
    <s v="M"/>
    <x v="3"/>
    <x v="1"/>
    <x v="0"/>
    <x v="8"/>
    <x v="4"/>
    <x v="10"/>
    <x v="1"/>
  </r>
  <r>
    <x v="1839"/>
    <x v="17"/>
    <x v="1"/>
    <n v="41.7"/>
    <n v="83.4"/>
    <x v="67"/>
    <x v="76"/>
    <s v="F"/>
    <x v="0"/>
    <x v="4"/>
    <x v="0"/>
    <x v="8"/>
    <x v="9"/>
    <x v="10"/>
    <x v="2"/>
  </r>
  <r>
    <x v="1840"/>
    <x v="2"/>
    <x v="1"/>
    <n v="135.1"/>
    <n v="270.2"/>
    <x v="67"/>
    <x v="65"/>
    <s v="M"/>
    <x v="0"/>
    <x v="2"/>
    <x v="0"/>
    <x v="17"/>
    <x v="3"/>
    <x v="10"/>
    <x v="1"/>
  </r>
  <r>
    <x v="1841"/>
    <x v="12"/>
    <x v="32"/>
    <n v="95.5"/>
    <n v="2101"/>
    <x v="67"/>
    <x v="65"/>
    <s v="F"/>
    <x v="4"/>
    <x v="4"/>
    <x v="0"/>
    <x v="26"/>
    <x v="3"/>
    <x v="10"/>
    <x v="2"/>
  </r>
  <r>
    <x v="1842"/>
    <x v="15"/>
    <x v="0"/>
    <n v="25.5"/>
    <n v="25.5"/>
    <x v="67"/>
    <x v="74"/>
    <s v=""/>
    <x v="2"/>
    <x v="2"/>
    <x v="0"/>
    <x v="11"/>
    <x v="2"/>
    <x v="10"/>
    <x v="0"/>
  </r>
  <r>
    <x v="1843"/>
    <x v="1"/>
    <x v="0"/>
    <n v="42.6"/>
    <n v="42.6"/>
    <x v="67"/>
    <x v="64"/>
    <s v="F"/>
    <x v="0"/>
    <x v="0"/>
    <x v="0"/>
    <x v="11"/>
    <x v="5"/>
    <x v="10"/>
    <x v="2"/>
  </r>
  <r>
    <x v="1844"/>
    <x v="8"/>
    <x v="20"/>
    <n v="32.4"/>
    <n v="486"/>
    <x v="67"/>
    <x v="65"/>
    <s v="M"/>
    <x v="1"/>
    <x v="1"/>
    <x v="0"/>
    <x v="11"/>
    <x v="3"/>
    <x v="10"/>
    <x v="1"/>
  </r>
  <r>
    <x v="1845"/>
    <x v="4"/>
    <x v="12"/>
    <n v="20.2"/>
    <n v="80.8"/>
    <x v="67"/>
    <x v="65"/>
    <s v="O"/>
    <x v="2"/>
    <x v="0"/>
    <x v="0"/>
    <x v="11"/>
    <x v="3"/>
    <x v="10"/>
    <x v="3"/>
  </r>
  <r>
    <x v="1846"/>
    <x v="16"/>
    <x v="2"/>
    <n v="52.5"/>
    <n v="157.5"/>
    <x v="67"/>
    <x v="67"/>
    <s v="F"/>
    <x v="4"/>
    <x v="0"/>
    <x v="0"/>
    <x v="18"/>
    <x v="0"/>
    <x v="10"/>
    <x v="2"/>
  </r>
  <r>
    <x v="1847"/>
    <x v="2"/>
    <x v="9"/>
    <n v="59.9"/>
    <n v="299.5"/>
    <x v="67"/>
    <x v="71"/>
    <s v="F"/>
    <x v="2"/>
    <x v="0"/>
    <x v="0"/>
    <x v="19"/>
    <x v="1"/>
    <x v="10"/>
    <x v="2"/>
  </r>
  <r>
    <x v="1848"/>
    <x v="4"/>
    <x v="1"/>
    <n v="53.2"/>
    <n v="106.4"/>
    <x v="67"/>
    <x v="65"/>
    <s v="F"/>
    <x v="1"/>
    <x v="3"/>
    <x v="0"/>
    <x v="20"/>
    <x v="3"/>
    <x v="10"/>
    <x v="2"/>
  </r>
  <r>
    <x v="1849"/>
    <x v="2"/>
    <x v="1"/>
    <n v="60"/>
    <n v="120"/>
    <x v="67"/>
    <x v="72"/>
    <s v="M"/>
    <x v="1"/>
    <x v="2"/>
    <x v="0"/>
    <x v="20"/>
    <x v="4"/>
    <x v="10"/>
    <x v="1"/>
  </r>
  <r>
    <x v="1850"/>
    <x v="8"/>
    <x v="2"/>
    <n v="29.3"/>
    <n v="87.9"/>
    <x v="67"/>
    <x v="65"/>
    <s v="F"/>
    <x v="4"/>
    <x v="0"/>
    <x v="0"/>
    <x v="13"/>
    <x v="3"/>
    <x v="10"/>
    <x v="2"/>
  </r>
  <r>
    <x v="1851"/>
    <x v="12"/>
    <x v="1"/>
    <n v="55.4"/>
    <n v="110.8"/>
    <x v="67"/>
    <x v="65"/>
    <s v="F"/>
    <x v="0"/>
    <x v="2"/>
    <x v="0"/>
    <x v="21"/>
    <x v="3"/>
    <x v="10"/>
    <x v="2"/>
  </r>
  <r>
    <x v="1852"/>
    <x v="0"/>
    <x v="9"/>
    <n v="20.100000000000001"/>
    <n v="100.5"/>
    <x v="67"/>
    <x v="71"/>
    <s v="F"/>
    <x v="1"/>
    <x v="2"/>
    <x v="0"/>
    <x v="21"/>
    <x v="1"/>
    <x v="10"/>
    <x v="2"/>
  </r>
  <r>
    <x v="1853"/>
    <x v="14"/>
    <x v="9"/>
    <n v="24"/>
    <n v="120"/>
    <x v="67"/>
    <x v="74"/>
    <s v="M"/>
    <x v="2"/>
    <x v="0"/>
    <x v="0"/>
    <x v="1"/>
    <x v="2"/>
    <x v="10"/>
    <x v="1"/>
  </r>
  <r>
    <x v="1854"/>
    <x v="8"/>
    <x v="1"/>
    <n v="30.6"/>
    <n v="61.2"/>
    <x v="68"/>
    <x v="74"/>
    <s v="F"/>
    <x v="0"/>
    <x v="0"/>
    <x v="0"/>
    <x v="1"/>
    <x v="1"/>
    <x v="10"/>
    <x v="2"/>
  </r>
  <r>
    <x v="1855"/>
    <x v="10"/>
    <x v="9"/>
    <n v="33"/>
    <n v="165"/>
    <x v="68"/>
    <x v="71"/>
    <s v="M"/>
    <x v="1"/>
    <x v="1"/>
    <x v="0"/>
    <x v="27"/>
    <x v="3"/>
    <x v="10"/>
    <x v="1"/>
  </r>
  <r>
    <x v="1856"/>
    <x v="17"/>
    <x v="11"/>
    <n v="42.1"/>
    <n v="378.90000000000003"/>
    <x v="68"/>
    <x v="69"/>
    <s v="F"/>
    <x v="2"/>
    <x v="0"/>
    <x v="0"/>
    <x v="44"/>
    <x v="4"/>
    <x v="10"/>
    <x v="2"/>
  </r>
  <r>
    <x v="1857"/>
    <x v="6"/>
    <x v="3"/>
    <n v="77.7"/>
    <n v="543.9"/>
    <x v="68"/>
    <x v="72"/>
    <s v="F"/>
    <x v="1"/>
    <x v="2"/>
    <x v="0"/>
    <x v="50"/>
    <x v="0"/>
    <x v="10"/>
    <x v="2"/>
  </r>
  <r>
    <x v="1858"/>
    <x v="17"/>
    <x v="13"/>
    <n v="22.7"/>
    <n v="136.19999999999999"/>
    <x v="68"/>
    <x v="64"/>
    <s v="F"/>
    <x v="2"/>
    <x v="0"/>
    <x v="0"/>
    <x v="3"/>
    <x v="2"/>
    <x v="10"/>
    <x v="2"/>
  </r>
  <r>
    <x v="1859"/>
    <x v="2"/>
    <x v="1"/>
    <n v="133"/>
    <n v="266"/>
    <x v="68"/>
    <x v="65"/>
    <s v="M"/>
    <x v="2"/>
    <x v="2"/>
    <x v="0"/>
    <x v="3"/>
    <x v="7"/>
    <x v="10"/>
    <x v="1"/>
  </r>
  <r>
    <x v="1860"/>
    <x v="0"/>
    <x v="1"/>
    <n v="23.3"/>
    <n v="46.6"/>
    <x v="68"/>
    <x v="71"/>
    <s v="M"/>
    <x v="1"/>
    <x v="2"/>
    <x v="0"/>
    <x v="3"/>
    <x v="3"/>
    <x v="10"/>
    <x v="1"/>
  </r>
  <r>
    <x v="1861"/>
    <x v="8"/>
    <x v="2"/>
    <n v="20.7"/>
    <n v="62.099999999999994"/>
    <x v="68"/>
    <x v="74"/>
    <s v="O"/>
    <x v="0"/>
    <x v="2"/>
    <x v="0"/>
    <x v="3"/>
    <x v="1"/>
    <x v="10"/>
    <x v="3"/>
  </r>
  <r>
    <x v="1862"/>
    <x v="12"/>
    <x v="1"/>
    <n v="47"/>
    <n v="94"/>
    <x v="68"/>
    <x v="71"/>
    <s v="M"/>
    <x v="1"/>
    <x v="2"/>
    <x v="0"/>
    <x v="3"/>
    <x v="3"/>
    <x v="10"/>
    <x v="1"/>
  </r>
  <r>
    <x v="1863"/>
    <x v="12"/>
    <x v="2"/>
    <n v="38.200000000000003"/>
    <n v="114.60000000000001"/>
    <x v="68"/>
    <x v="74"/>
    <s v="F"/>
    <x v="2"/>
    <x v="4"/>
    <x v="0"/>
    <x v="3"/>
    <x v="1"/>
    <x v="10"/>
    <x v="2"/>
  </r>
  <r>
    <x v="1864"/>
    <x v="9"/>
    <x v="0"/>
    <n v="39.1"/>
    <n v="39.1"/>
    <x v="68"/>
    <x v="74"/>
    <s v="F"/>
    <x v="0"/>
    <x v="0"/>
    <x v="0"/>
    <x v="3"/>
    <x v="1"/>
    <x v="10"/>
    <x v="2"/>
  </r>
  <r>
    <x v="1865"/>
    <x v="7"/>
    <x v="30"/>
    <n v="55.6"/>
    <n v="1390"/>
    <x v="68"/>
    <x v="74"/>
    <s v="M"/>
    <x v="0"/>
    <x v="2"/>
    <x v="0"/>
    <x v="3"/>
    <x v="1"/>
    <x v="10"/>
    <x v="1"/>
  </r>
  <r>
    <x v="1866"/>
    <x v="15"/>
    <x v="0"/>
    <n v="43.1"/>
    <n v="43.1"/>
    <x v="68"/>
    <x v="65"/>
    <s v="O"/>
    <x v="1"/>
    <x v="2"/>
    <x v="0"/>
    <x v="3"/>
    <x v="7"/>
    <x v="10"/>
    <x v="3"/>
  </r>
  <r>
    <x v="1867"/>
    <x v="6"/>
    <x v="12"/>
    <n v="48.1"/>
    <n v="192.4"/>
    <x v="68"/>
    <x v="71"/>
    <s v="F"/>
    <x v="4"/>
    <x v="2"/>
    <x v="0"/>
    <x v="3"/>
    <x v="3"/>
    <x v="10"/>
    <x v="2"/>
  </r>
  <r>
    <x v="1868"/>
    <x v="4"/>
    <x v="0"/>
    <n v="42"/>
    <n v="42"/>
    <x v="68"/>
    <x v="71"/>
    <s v="O"/>
    <x v="0"/>
    <x v="0"/>
    <x v="0"/>
    <x v="3"/>
    <x v="3"/>
    <x v="10"/>
    <x v="3"/>
  </r>
  <r>
    <x v="1869"/>
    <x v="8"/>
    <x v="9"/>
    <n v="18.3"/>
    <n v="91.5"/>
    <x v="68"/>
    <x v="65"/>
    <s v="F"/>
    <x v="2"/>
    <x v="0"/>
    <x v="0"/>
    <x v="3"/>
    <x v="7"/>
    <x v="10"/>
    <x v="2"/>
  </r>
  <r>
    <x v="1870"/>
    <x v="10"/>
    <x v="12"/>
    <n v="45.3"/>
    <n v="181.2"/>
    <x v="68"/>
    <x v="64"/>
    <s v="F"/>
    <x v="0"/>
    <x v="2"/>
    <x v="0"/>
    <x v="3"/>
    <x v="2"/>
    <x v="10"/>
    <x v="2"/>
  </r>
  <r>
    <x v="1871"/>
    <x v="0"/>
    <x v="1"/>
    <n v="27.6"/>
    <n v="55.2"/>
    <x v="68"/>
    <x v="74"/>
    <s v="M"/>
    <x v="0"/>
    <x v="2"/>
    <x v="0"/>
    <x v="37"/>
    <x v="1"/>
    <x v="10"/>
    <x v="1"/>
  </r>
  <r>
    <x v="1872"/>
    <x v="4"/>
    <x v="9"/>
    <n v="26.9"/>
    <n v="134.5"/>
    <x v="68"/>
    <x v="71"/>
    <s v="F"/>
    <x v="2"/>
    <x v="0"/>
    <x v="0"/>
    <x v="25"/>
    <x v="3"/>
    <x v="10"/>
    <x v="2"/>
  </r>
  <r>
    <x v="1873"/>
    <x v="2"/>
    <x v="11"/>
    <n v="82.4"/>
    <n v="741.6"/>
    <x v="68"/>
    <x v="74"/>
    <s v="O"/>
    <x v="2"/>
    <x v="0"/>
    <x v="0"/>
    <x v="5"/>
    <x v="1"/>
    <x v="10"/>
    <x v="3"/>
  </r>
  <r>
    <x v="1874"/>
    <x v="6"/>
    <x v="0"/>
    <n v="103.7"/>
    <n v="103.7"/>
    <x v="68"/>
    <x v="74"/>
    <s v="F"/>
    <x v="1"/>
    <x v="0"/>
    <x v="0"/>
    <x v="5"/>
    <x v="1"/>
    <x v="10"/>
    <x v="2"/>
  </r>
  <r>
    <x v="1875"/>
    <x v="2"/>
    <x v="1"/>
    <n v="58.8"/>
    <n v="117.6"/>
    <x v="68"/>
    <x v="72"/>
    <s v="F"/>
    <x v="1"/>
    <x v="2"/>
    <x v="0"/>
    <x v="6"/>
    <x v="0"/>
    <x v="10"/>
    <x v="2"/>
  </r>
  <r>
    <x v="1876"/>
    <x v="13"/>
    <x v="0"/>
    <n v="31.5"/>
    <n v="31.5"/>
    <x v="68"/>
    <x v="71"/>
    <s v="F"/>
    <x v="1"/>
    <x v="1"/>
    <x v="0"/>
    <x v="6"/>
    <x v="3"/>
    <x v="10"/>
    <x v="2"/>
  </r>
  <r>
    <x v="1877"/>
    <x v="7"/>
    <x v="9"/>
    <n v="36.799999999999997"/>
    <n v="184"/>
    <x v="68"/>
    <x v="74"/>
    <s v="F"/>
    <x v="0"/>
    <x v="0"/>
    <x v="0"/>
    <x v="8"/>
    <x v="1"/>
    <x v="10"/>
    <x v="2"/>
  </r>
  <r>
    <x v="1878"/>
    <x v="3"/>
    <x v="0"/>
    <n v="84.4"/>
    <n v="84.4"/>
    <x v="68"/>
    <x v="71"/>
    <s v="F"/>
    <x v="0"/>
    <x v="0"/>
    <x v="0"/>
    <x v="8"/>
    <x v="3"/>
    <x v="10"/>
    <x v="2"/>
  </r>
  <r>
    <x v="1879"/>
    <x v="14"/>
    <x v="0"/>
    <n v="44.7"/>
    <n v="44.7"/>
    <x v="68"/>
    <x v="71"/>
    <s v="M"/>
    <x v="0"/>
    <x v="1"/>
    <x v="0"/>
    <x v="8"/>
    <x v="3"/>
    <x v="10"/>
    <x v="1"/>
  </r>
  <r>
    <x v="1880"/>
    <x v="9"/>
    <x v="8"/>
    <n v="39.4"/>
    <n v="315.2"/>
    <x v="68"/>
    <x v="71"/>
    <s v="F"/>
    <x v="1"/>
    <x v="2"/>
    <x v="0"/>
    <x v="8"/>
    <x v="3"/>
    <x v="10"/>
    <x v="2"/>
  </r>
  <r>
    <x v="1881"/>
    <x v="11"/>
    <x v="12"/>
    <n v="34.9"/>
    <n v="139.6"/>
    <x v="68"/>
    <x v="74"/>
    <s v="F"/>
    <x v="0"/>
    <x v="2"/>
    <x v="0"/>
    <x v="8"/>
    <x v="1"/>
    <x v="10"/>
    <x v="2"/>
  </r>
  <r>
    <x v="1882"/>
    <x v="1"/>
    <x v="2"/>
    <n v="62.3"/>
    <n v="186.89999999999998"/>
    <x v="68"/>
    <x v="74"/>
    <s v="M"/>
    <x v="4"/>
    <x v="2"/>
    <x v="0"/>
    <x v="8"/>
    <x v="1"/>
    <x v="10"/>
    <x v="1"/>
  </r>
  <r>
    <x v="1883"/>
    <x v="8"/>
    <x v="12"/>
    <n v="21.1"/>
    <n v="84.4"/>
    <x v="68"/>
    <x v="64"/>
    <s v="M"/>
    <x v="3"/>
    <x v="0"/>
    <x v="0"/>
    <x v="8"/>
    <x v="2"/>
    <x v="10"/>
    <x v="1"/>
  </r>
  <r>
    <x v="1884"/>
    <x v="8"/>
    <x v="2"/>
    <n v="33.200000000000003"/>
    <n v="99.600000000000009"/>
    <x v="68"/>
    <x v="77"/>
    <s v=""/>
    <x v="0"/>
    <x v="4"/>
    <x v="0"/>
    <x v="8"/>
    <x v="12"/>
    <x v="10"/>
    <x v="0"/>
  </r>
  <r>
    <x v="1885"/>
    <x v="1"/>
    <x v="12"/>
    <n v="74.5"/>
    <n v="298"/>
    <x v="68"/>
    <x v="71"/>
    <s v="M"/>
    <x v="4"/>
    <x v="0"/>
    <x v="0"/>
    <x v="8"/>
    <x v="3"/>
    <x v="10"/>
    <x v="1"/>
  </r>
  <r>
    <x v="1886"/>
    <x v="10"/>
    <x v="4"/>
    <n v="68.599999999999994"/>
    <n v="823.19999999999993"/>
    <x v="68"/>
    <x v="64"/>
    <s v="F"/>
    <x v="0"/>
    <x v="2"/>
    <x v="0"/>
    <x v="8"/>
    <x v="2"/>
    <x v="10"/>
    <x v="2"/>
  </r>
  <r>
    <x v="1887"/>
    <x v="5"/>
    <x v="21"/>
    <n v="36.4"/>
    <n v="509.59999999999997"/>
    <x v="68"/>
    <x v="74"/>
    <s v="F"/>
    <x v="0"/>
    <x v="1"/>
    <x v="0"/>
    <x v="9"/>
    <x v="1"/>
    <x v="10"/>
    <x v="2"/>
  </r>
  <r>
    <x v="1888"/>
    <x v="16"/>
    <x v="9"/>
    <n v="67.599999999999994"/>
    <n v="338"/>
    <x v="69"/>
    <x v="67"/>
    <s v="F"/>
    <x v="4"/>
    <x v="1"/>
    <x v="0"/>
    <x v="9"/>
    <x v="2"/>
    <x v="10"/>
    <x v="2"/>
  </r>
  <r>
    <x v="1889"/>
    <x v="15"/>
    <x v="0"/>
    <n v="46.3"/>
    <n v="46.3"/>
    <x v="69"/>
    <x v="74"/>
    <s v="M"/>
    <x v="2"/>
    <x v="0"/>
    <x v="0"/>
    <x v="9"/>
    <x v="3"/>
    <x v="10"/>
    <x v="1"/>
  </r>
  <r>
    <x v="1890"/>
    <x v="1"/>
    <x v="2"/>
    <n v="124.2"/>
    <n v="372.6"/>
    <x v="69"/>
    <x v="64"/>
    <s v="F"/>
    <x v="1"/>
    <x v="2"/>
    <x v="0"/>
    <x v="11"/>
    <x v="1"/>
    <x v="10"/>
    <x v="2"/>
  </r>
  <r>
    <x v="1891"/>
    <x v="10"/>
    <x v="1"/>
    <n v="37"/>
    <n v="74"/>
    <x v="69"/>
    <x v="76"/>
    <s v="M"/>
    <x v="0"/>
    <x v="0"/>
    <x v="0"/>
    <x v="11"/>
    <x v="4"/>
    <x v="10"/>
    <x v="1"/>
  </r>
  <r>
    <x v="1892"/>
    <x v="5"/>
    <x v="0"/>
    <n v="41.8"/>
    <n v="41.8"/>
    <x v="69"/>
    <x v="74"/>
    <s v="M"/>
    <x v="2"/>
    <x v="0"/>
    <x v="0"/>
    <x v="31"/>
    <x v="3"/>
    <x v="10"/>
    <x v="1"/>
  </r>
  <r>
    <x v="1893"/>
    <x v="9"/>
    <x v="1"/>
    <n v="57.2"/>
    <n v="114.4"/>
    <x v="69"/>
    <x v="64"/>
    <s v="M"/>
    <x v="2"/>
    <x v="1"/>
    <x v="0"/>
    <x v="20"/>
    <x v="1"/>
    <x v="10"/>
    <x v="1"/>
  </r>
  <r>
    <x v="1894"/>
    <x v="6"/>
    <x v="1"/>
    <n v="47.1"/>
    <n v="94.2"/>
    <x v="69"/>
    <x v="64"/>
    <s v="F"/>
    <x v="0"/>
    <x v="4"/>
    <x v="0"/>
    <x v="20"/>
    <x v="1"/>
    <x v="10"/>
    <x v="2"/>
  </r>
  <r>
    <x v="1895"/>
    <x v="5"/>
    <x v="2"/>
    <n v="86.4"/>
    <n v="259.20000000000005"/>
    <x v="69"/>
    <x v="74"/>
    <s v="M"/>
    <x v="2"/>
    <x v="1"/>
    <x v="0"/>
    <x v="52"/>
    <x v="3"/>
    <x v="10"/>
    <x v="1"/>
  </r>
  <r>
    <x v="1896"/>
    <x v="6"/>
    <x v="9"/>
    <n v="105"/>
    <n v="525"/>
    <x v="69"/>
    <x v="67"/>
    <s v="M"/>
    <x v="0"/>
    <x v="0"/>
    <x v="0"/>
    <x v="13"/>
    <x v="2"/>
    <x v="10"/>
    <x v="1"/>
  </r>
  <r>
    <x v="1897"/>
    <x v="18"/>
    <x v="0"/>
    <n v="33"/>
    <n v="33"/>
    <x v="69"/>
    <x v="67"/>
    <s v="M"/>
    <x v="4"/>
    <x v="0"/>
    <x v="0"/>
    <x v="21"/>
    <x v="2"/>
    <x v="10"/>
    <x v="1"/>
  </r>
  <r>
    <x v="1898"/>
    <x v="6"/>
    <x v="9"/>
    <n v="106.6"/>
    <n v="533"/>
    <x v="69"/>
    <x v="77"/>
    <s v="F"/>
    <x v="2"/>
    <x v="0"/>
    <x v="0"/>
    <x v="1"/>
    <x v="10"/>
    <x v="10"/>
    <x v="2"/>
  </r>
  <r>
    <x v="1899"/>
    <x v="10"/>
    <x v="46"/>
    <n v="26.8"/>
    <n v="857.6"/>
    <x v="69"/>
    <x v="74"/>
    <s v="F"/>
    <x v="2"/>
    <x v="0"/>
    <x v="0"/>
    <x v="1"/>
    <x v="3"/>
    <x v="10"/>
    <x v="2"/>
  </r>
  <r>
    <x v="1900"/>
    <x v="17"/>
    <x v="9"/>
    <n v="25.8"/>
    <n v="129"/>
    <x v="69"/>
    <x v="71"/>
    <s v="F"/>
    <x v="1"/>
    <x v="2"/>
    <x v="0"/>
    <x v="3"/>
    <x v="7"/>
    <x v="10"/>
    <x v="2"/>
  </r>
  <r>
    <x v="1901"/>
    <x v="2"/>
    <x v="2"/>
    <n v="217"/>
    <n v="651"/>
    <x v="69"/>
    <x v="74"/>
    <s v="F"/>
    <x v="1"/>
    <x v="1"/>
    <x v="0"/>
    <x v="3"/>
    <x v="3"/>
    <x v="10"/>
    <x v="2"/>
  </r>
  <r>
    <x v="1902"/>
    <x v="2"/>
    <x v="1"/>
    <n v="97.3"/>
    <n v="194.6"/>
    <x v="69"/>
    <x v="74"/>
    <s v="M"/>
    <x v="2"/>
    <x v="4"/>
    <x v="0"/>
    <x v="3"/>
    <x v="3"/>
    <x v="10"/>
    <x v="1"/>
  </r>
  <r>
    <x v="1903"/>
    <x v="1"/>
    <x v="0"/>
    <n v="49.8"/>
    <n v="49.8"/>
    <x v="69"/>
    <x v="74"/>
    <s v="F"/>
    <x v="0"/>
    <x v="0"/>
    <x v="0"/>
    <x v="3"/>
    <x v="3"/>
    <x v="10"/>
    <x v="2"/>
  </r>
  <r>
    <x v="1904"/>
    <x v="12"/>
    <x v="9"/>
    <n v="32.6"/>
    <n v="163"/>
    <x v="69"/>
    <x v="74"/>
    <s v="F"/>
    <x v="0"/>
    <x v="0"/>
    <x v="0"/>
    <x v="3"/>
    <x v="3"/>
    <x v="10"/>
    <x v="2"/>
  </r>
  <r>
    <x v="1905"/>
    <x v="9"/>
    <x v="1"/>
    <n v="40.1"/>
    <n v="80.2"/>
    <x v="69"/>
    <x v="67"/>
    <s v="M"/>
    <x v="1"/>
    <x v="2"/>
    <x v="0"/>
    <x v="3"/>
    <x v="2"/>
    <x v="10"/>
    <x v="1"/>
  </r>
  <r>
    <x v="1906"/>
    <x v="10"/>
    <x v="1"/>
    <n v="49.4"/>
    <n v="98.8"/>
    <x v="69"/>
    <x v="64"/>
    <s v="M"/>
    <x v="1"/>
    <x v="0"/>
    <x v="0"/>
    <x v="3"/>
    <x v="1"/>
    <x v="10"/>
    <x v="1"/>
  </r>
  <r>
    <x v="1907"/>
    <x v="2"/>
    <x v="0"/>
    <n v="67.3"/>
    <n v="67.3"/>
    <x v="69"/>
    <x v="74"/>
    <s v="F"/>
    <x v="0"/>
    <x v="2"/>
    <x v="0"/>
    <x v="3"/>
    <x v="3"/>
    <x v="10"/>
    <x v="2"/>
  </r>
  <r>
    <x v="1908"/>
    <x v="18"/>
    <x v="12"/>
    <n v="44.5"/>
    <n v="178"/>
    <x v="69"/>
    <x v="67"/>
    <s v=""/>
    <x v="1"/>
    <x v="0"/>
    <x v="0"/>
    <x v="3"/>
    <x v="2"/>
    <x v="10"/>
    <x v="0"/>
  </r>
  <r>
    <x v="1909"/>
    <x v="6"/>
    <x v="5"/>
    <n v="111.1"/>
    <n v="1222.0999999999999"/>
    <x v="69"/>
    <x v="74"/>
    <s v="F"/>
    <x v="4"/>
    <x v="0"/>
    <x v="0"/>
    <x v="3"/>
    <x v="3"/>
    <x v="10"/>
    <x v="2"/>
  </r>
  <r>
    <x v="1910"/>
    <x v="8"/>
    <x v="2"/>
    <n v="19.7"/>
    <n v="59.099999999999994"/>
    <x v="69"/>
    <x v="74"/>
    <s v="F"/>
    <x v="4"/>
    <x v="4"/>
    <x v="0"/>
    <x v="3"/>
    <x v="3"/>
    <x v="10"/>
    <x v="2"/>
  </r>
  <r>
    <x v="1911"/>
    <x v="1"/>
    <x v="0"/>
    <n v="40.299999999999997"/>
    <n v="40.299999999999997"/>
    <x v="69"/>
    <x v="74"/>
    <s v="O"/>
    <x v="1"/>
    <x v="0"/>
    <x v="0"/>
    <x v="3"/>
    <x v="3"/>
    <x v="10"/>
    <x v="3"/>
  </r>
  <r>
    <x v="1912"/>
    <x v="6"/>
    <x v="1"/>
    <n v="108.8"/>
    <n v="217.6"/>
    <x v="69"/>
    <x v="69"/>
    <s v="M"/>
    <x v="0"/>
    <x v="2"/>
    <x v="0"/>
    <x v="6"/>
    <x v="0"/>
    <x v="10"/>
    <x v="1"/>
  </r>
  <r>
    <x v="1913"/>
    <x v="8"/>
    <x v="2"/>
    <n v="48.2"/>
    <n v="144.60000000000002"/>
    <x v="69"/>
    <x v="69"/>
    <s v="F"/>
    <x v="4"/>
    <x v="0"/>
    <x v="0"/>
    <x v="7"/>
    <x v="0"/>
    <x v="10"/>
    <x v="2"/>
  </r>
  <r>
    <x v="1914"/>
    <x v="2"/>
    <x v="2"/>
    <n v="104.7"/>
    <n v="314.10000000000002"/>
    <x v="69"/>
    <x v="64"/>
    <s v="F"/>
    <x v="0"/>
    <x v="1"/>
    <x v="0"/>
    <x v="7"/>
    <x v="1"/>
    <x v="10"/>
    <x v="2"/>
  </r>
  <r>
    <x v="1915"/>
    <x v="1"/>
    <x v="1"/>
    <n v="80.599999999999994"/>
    <n v="161.19999999999999"/>
    <x v="69"/>
    <x v="71"/>
    <s v="F"/>
    <x v="1"/>
    <x v="0"/>
    <x v="0"/>
    <x v="8"/>
    <x v="7"/>
    <x v="10"/>
    <x v="2"/>
  </r>
  <r>
    <x v="1916"/>
    <x v="6"/>
    <x v="0"/>
    <n v="65.5"/>
    <n v="65.5"/>
    <x v="69"/>
    <x v="64"/>
    <s v="O"/>
    <x v="1"/>
    <x v="0"/>
    <x v="0"/>
    <x v="8"/>
    <x v="1"/>
    <x v="10"/>
    <x v="3"/>
  </r>
  <r>
    <x v="1917"/>
    <x v="9"/>
    <x v="2"/>
    <n v="61.4"/>
    <n v="184.2"/>
    <x v="69"/>
    <x v="64"/>
    <s v="F"/>
    <x v="4"/>
    <x v="2"/>
    <x v="0"/>
    <x v="8"/>
    <x v="1"/>
    <x v="10"/>
    <x v="2"/>
  </r>
  <r>
    <x v="1918"/>
    <x v="0"/>
    <x v="0"/>
    <n v="12.5"/>
    <n v="12.5"/>
    <x v="70"/>
    <x v="72"/>
    <s v="F"/>
    <x v="0"/>
    <x v="1"/>
    <x v="0"/>
    <x v="8"/>
    <x v="2"/>
    <x v="10"/>
    <x v="2"/>
  </r>
  <r>
    <x v="1919"/>
    <x v="4"/>
    <x v="12"/>
    <n v="35.1"/>
    <n v="140.4"/>
    <x v="70"/>
    <x v="64"/>
    <s v="M"/>
    <x v="2"/>
    <x v="1"/>
    <x v="0"/>
    <x v="17"/>
    <x v="3"/>
    <x v="10"/>
    <x v="1"/>
  </r>
  <r>
    <x v="1920"/>
    <x v="5"/>
    <x v="1"/>
    <n v="55.7"/>
    <n v="111.4"/>
    <x v="70"/>
    <x v="64"/>
    <s v="M"/>
    <x v="0"/>
    <x v="1"/>
    <x v="0"/>
    <x v="26"/>
    <x v="3"/>
    <x v="10"/>
    <x v="1"/>
  </r>
  <r>
    <x v="1921"/>
    <x v="7"/>
    <x v="1"/>
    <n v="57.7"/>
    <n v="115.4"/>
    <x v="70"/>
    <x v="67"/>
    <s v="M"/>
    <x v="4"/>
    <x v="1"/>
    <x v="0"/>
    <x v="9"/>
    <x v="1"/>
    <x v="10"/>
    <x v="1"/>
  </r>
  <r>
    <x v="1922"/>
    <x v="2"/>
    <x v="13"/>
    <n v="85.7"/>
    <n v="514.20000000000005"/>
    <x v="70"/>
    <x v="64"/>
    <s v="M"/>
    <x v="3"/>
    <x v="2"/>
    <x v="0"/>
    <x v="9"/>
    <x v="3"/>
    <x v="10"/>
    <x v="1"/>
  </r>
  <r>
    <x v="1923"/>
    <x v="2"/>
    <x v="2"/>
    <n v="86.9"/>
    <n v="260.70000000000005"/>
    <x v="70"/>
    <x v="67"/>
    <s v="F"/>
    <x v="1"/>
    <x v="0"/>
    <x v="0"/>
    <x v="11"/>
    <x v="1"/>
    <x v="10"/>
    <x v="2"/>
  </r>
  <r>
    <x v="1924"/>
    <x v="18"/>
    <x v="1"/>
    <n v="46.4"/>
    <n v="92.8"/>
    <x v="70"/>
    <x v="72"/>
    <s v="F"/>
    <x v="4"/>
    <x v="0"/>
    <x v="0"/>
    <x v="11"/>
    <x v="2"/>
    <x v="10"/>
    <x v="2"/>
  </r>
  <r>
    <x v="1925"/>
    <x v="5"/>
    <x v="2"/>
    <n v="25.4"/>
    <n v="76.199999999999989"/>
    <x v="70"/>
    <x v="74"/>
    <s v="F"/>
    <x v="2"/>
    <x v="2"/>
    <x v="0"/>
    <x v="18"/>
    <x v="7"/>
    <x v="10"/>
    <x v="2"/>
  </r>
  <r>
    <x v="1926"/>
    <x v="10"/>
    <x v="2"/>
    <n v="47.8"/>
    <n v="143.39999999999998"/>
    <x v="70"/>
    <x v="74"/>
    <s v=""/>
    <x v="2"/>
    <x v="2"/>
    <x v="0"/>
    <x v="19"/>
    <x v="7"/>
    <x v="10"/>
    <x v="0"/>
  </r>
  <r>
    <x v="1927"/>
    <x v="8"/>
    <x v="10"/>
    <n v="18.399999999999999"/>
    <n v="349.59999999999997"/>
    <x v="70"/>
    <x v="67"/>
    <s v="O"/>
    <x v="2"/>
    <x v="0"/>
    <x v="0"/>
    <x v="20"/>
    <x v="1"/>
    <x v="10"/>
    <x v="3"/>
  </r>
  <r>
    <x v="1928"/>
    <x v="12"/>
    <x v="2"/>
    <n v="65.5"/>
    <n v="196.5"/>
    <x v="70"/>
    <x v="78"/>
    <s v="F"/>
    <x v="0"/>
    <x v="0"/>
    <x v="0"/>
    <x v="21"/>
    <x v="9"/>
    <x v="10"/>
    <x v="2"/>
  </r>
  <r>
    <x v="1929"/>
    <x v="10"/>
    <x v="1"/>
    <n v="50.6"/>
    <n v="101.2"/>
    <x v="70"/>
    <x v="72"/>
    <s v="M"/>
    <x v="2"/>
    <x v="4"/>
    <x v="0"/>
    <x v="21"/>
    <x v="2"/>
    <x v="10"/>
    <x v="1"/>
  </r>
  <r>
    <x v="1930"/>
    <x v="3"/>
    <x v="9"/>
    <n v="69"/>
    <n v="345"/>
    <x v="70"/>
    <x v="69"/>
    <s v="M"/>
    <x v="3"/>
    <x v="0"/>
    <x v="0"/>
    <x v="21"/>
    <x v="5"/>
    <x v="10"/>
    <x v="1"/>
  </r>
  <r>
    <x v="1931"/>
    <x v="9"/>
    <x v="8"/>
    <n v="51.1"/>
    <n v="408.8"/>
    <x v="70"/>
    <x v="67"/>
    <s v="F"/>
    <x v="0"/>
    <x v="0"/>
    <x v="0"/>
    <x v="1"/>
    <x v="1"/>
    <x v="10"/>
    <x v="2"/>
  </r>
  <r>
    <x v="1932"/>
    <x v="9"/>
    <x v="0"/>
    <n v="36.1"/>
    <n v="36.1"/>
    <x v="70"/>
    <x v="64"/>
    <s v="F"/>
    <x v="0"/>
    <x v="2"/>
    <x v="0"/>
    <x v="34"/>
    <x v="3"/>
    <x v="10"/>
    <x v="2"/>
  </r>
  <r>
    <x v="1933"/>
    <x v="14"/>
    <x v="0"/>
    <n v="18.7"/>
    <n v="18.7"/>
    <x v="70"/>
    <x v="64"/>
    <s v="M"/>
    <x v="0"/>
    <x v="0"/>
    <x v="0"/>
    <x v="3"/>
    <x v="3"/>
    <x v="10"/>
    <x v="1"/>
  </r>
  <r>
    <x v="1934"/>
    <x v="17"/>
    <x v="0"/>
    <n v="30.1"/>
    <n v="30.1"/>
    <x v="70"/>
    <x v="72"/>
    <s v="F"/>
    <x v="3"/>
    <x v="1"/>
    <x v="0"/>
    <x v="3"/>
    <x v="2"/>
    <x v="10"/>
    <x v="2"/>
  </r>
  <r>
    <x v="1935"/>
    <x v="8"/>
    <x v="0"/>
    <n v="16.3"/>
    <n v="16.3"/>
    <x v="70"/>
    <x v="64"/>
    <s v="M"/>
    <x v="3"/>
    <x v="0"/>
    <x v="0"/>
    <x v="3"/>
    <x v="3"/>
    <x v="10"/>
    <x v="1"/>
  </r>
  <r>
    <x v="1936"/>
    <x v="1"/>
    <x v="2"/>
    <n v="63.8"/>
    <n v="191.39999999999998"/>
    <x v="70"/>
    <x v="76"/>
    <s v="F"/>
    <x v="2"/>
    <x v="1"/>
    <x v="0"/>
    <x v="3"/>
    <x v="0"/>
    <x v="10"/>
    <x v="2"/>
  </r>
  <r>
    <x v="1937"/>
    <x v="1"/>
    <x v="3"/>
    <n v="73.900000000000006"/>
    <n v="517.30000000000007"/>
    <x v="70"/>
    <x v="74"/>
    <s v="F"/>
    <x v="0"/>
    <x v="1"/>
    <x v="0"/>
    <x v="3"/>
    <x v="7"/>
    <x v="10"/>
    <x v="2"/>
  </r>
  <r>
    <x v="1938"/>
    <x v="0"/>
    <x v="1"/>
    <n v="20.2"/>
    <n v="40.4"/>
    <x v="70"/>
    <x v="64"/>
    <s v="M"/>
    <x v="0"/>
    <x v="1"/>
    <x v="0"/>
    <x v="3"/>
    <x v="3"/>
    <x v="10"/>
    <x v="1"/>
  </r>
  <r>
    <x v="1939"/>
    <x v="11"/>
    <x v="5"/>
    <n v="29.5"/>
    <n v="324.5"/>
    <x v="70"/>
    <x v="64"/>
    <s v="M"/>
    <x v="0"/>
    <x v="0"/>
    <x v="0"/>
    <x v="3"/>
    <x v="3"/>
    <x v="10"/>
    <x v="1"/>
  </r>
  <r>
    <x v="1940"/>
    <x v="15"/>
    <x v="3"/>
    <n v="37.9"/>
    <n v="265.3"/>
    <x v="70"/>
    <x v="64"/>
    <s v="M"/>
    <x v="1"/>
    <x v="0"/>
    <x v="0"/>
    <x v="3"/>
    <x v="3"/>
    <x v="10"/>
    <x v="1"/>
  </r>
  <r>
    <x v="1941"/>
    <x v="2"/>
    <x v="0"/>
    <n v="56.5"/>
    <n v="56.5"/>
    <x v="70"/>
    <x v="64"/>
    <s v="F"/>
    <x v="2"/>
    <x v="1"/>
    <x v="0"/>
    <x v="3"/>
    <x v="3"/>
    <x v="10"/>
    <x v="2"/>
  </r>
  <r>
    <x v="1942"/>
    <x v="2"/>
    <x v="1"/>
    <n v="66.900000000000006"/>
    <n v="133.80000000000001"/>
    <x v="70"/>
    <x v="73"/>
    <s v="M"/>
    <x v="1"/>
    <x v="4"/>
    <x v="0"/>
    <x v="25"/>
    <x v="4"/>
    <x v="10"/>
    <x v="1"/>
  </r>
  <r>
    <x v="1943"/>
    <x v="2"/>
    <x v="9"/>
    <n v="51.9"/>
    <n v="259.5"/>
    <x v="70"/>
    <x v="72"/>
    <s v="M"/>
    <x v="1"/>
    <x v="0"/>
    <x v="0"/>
    <x v="7"/>
    <x v="2"/>
    <x v="10"/>
    <x v="1"/>
  </r>
  <r>
    <x v="1944"/>
    <x v="2"/>
    <x v="1"/>
    <n v="75.599999999999994"/>
    <n v="151.19999999999999"/>
    <x v="70"/>
    <x v="72"/>
    <s v="M"/>
    <x v="1"/>
    <x v="0"/>
    <x v="0"/>
    <x v="8"/>
    <x v="2"/>
    <x v="10"/>
    <x v="1"/>
  </r>
  <r>
    <x v="1945"/>
    <x v="12"/>
    <x v="13"/>
    <n v="47.3"/>
    <n v="283.79999999999995"/>
    <x v="70"/>
    <x v="79"/>
    <s v="M"/>
    <x v="0"/>
    <x v="0"/>
    <x v="0"/>
    <x v="8"/>
    <x v="11"/>
    <x v="10"/>
    <x v="1"/>
  </r>
  <r>
    <x v="1946"/>
    <x v="4"/>
    <x v="0"/>
    <n v="20.6"/>
    <n v="20.6"/>
    <x v="70"/>
    <x v="64"/>
    <s v=""/>
    <x v="0"/>
    <x v="1"/>
    <x v="0"/>
    <x v="8"/>
    <x v="3"/>
    <x v="10"/>
    <x v="0"/>
  </r>
  <r>
    <x v="1947"/>
    <x v="6"/>
    <x v="2"/>
    <n v="49.7"/>
    <n v="149.10000000000002"/>
    <x v="70"/>
    <x v="67"/>
    <s v="M"/>
    <x v="0"/>
    <x v="1"/>
    <x v="0"/>
    <x v="8"/>
    <x v="1"/>
    <x v="10"/>
    <x v="1"/>
  </r>
  <r>
    <x v="1948"/>
    <x v="3"/>
    <x v="0"/>
    <n v="37.9"/>
    <n v="37.9"/>
    <x v="70"/>
    <x v="67"/>
    <s v="F"/>
    <x v="0"/>
    <x v="0"/>
    <x v="0"/>
    <x v="8"/>
    <x v="1"/>
    <x v="10"/>
    <x v="2"/>
  </r>
  <r>
    <x v="1949"/>
    <x v="13"/>
    <x v="20"/>
    <n v="32"/>
    <n v="480"/>
    <x v="70"/>
    <x v="67"/>
    <s v="F"/>
    <x v="4"/>
    <x v="0"/>
    <x v="0"/>
    <x v="11"/>
    <x v="1"/>
    <x v="10"/>
    <x v="2"/>
  </r>
  <r>
    <x v="1950"/>
    <x v="10"/>
    <x v="16"/>
    <n v="38.5"/>
    <n v="693"/>
    <x v="71"/>
    <x v="67"/>
    <s v="M"/>
    <x v="0"/>
    <x v="2"/>
    <x v="0"/>
    <x v="11"/>
    <x v="3"/>
    <x v="10"/>
    <x v="1"/>
  </r>
  <r>
    <x v="1951"/>
    <x v="0"/>
    <x v="12"/>
    <n v="11.7"/>
    <n v="46.8"/>
    <x v="71"/>
    <x v="72"/>
    <s v="F"/>
    <x v="1"/>
    <x v="0"/>
    <x v="0"/>
    <x v="20"/>
    <x v="1"/>
    <x v="10"/>
    <x v="2"/>
  </r>
  <r>
    <x v="1952"/>
    <x v="3"/>
    <x v="13"/>
    <n v="83.8"/>
    <n v="502.79999999999995"/>
    <x v="71"/>
    <x v="67"/>
    <s v="M"/>
    <x v="0"/>
    <x v="0"/>
    <x v="0"/>
    <x v="21"/>
    <x v="3"/>
    <x v="10"/>
    <x v="1"/>
  </r>
  <r>
    <x v="1953"/>
    <x v="0"/>
    <x v="3"/>
    <n v="14"/>
    <n v="98"/>
    <x v="71"/>
    <x v="69"/>
    <s v="M"/>
    <x v="0"/>
    <x v="1"/>
    <x v="0"/>
    <x v="22"/>
    <x v="2"/>
    <x v="10"/>
    <x v="1"/>
  </r>
  <r>
    <x v="1954"/>
    <x v="16"/>
    <x v="12"/>
    <n v="77.3"/>
    <n v="309.2"/>
    <x v="71"/>
    <x v="72"/>
    <s v="F"/>
    <x v="4"/>
    <x v="2"/>
    <x v="0"/>
    <x v="3"/>
    <x v="1"/>
    <x v="10"/>
    <x v="2"/>
  </r>
  <r>
    <x v="1955"/>
    <x v="2"/>
    <x v="1"/>
    <n v="76.900000000000006"/>
    <n v="153.80000000000001"/>
    <x v="71"/>
    <x v="76"/>
    <s v="F"/>
    <x v="0"/>
    <x v="1"/>
    <x v="0"/>
    <x v="3"/>
    <x v="5"/>
    <x v="10"/>
    <x v="2"/>
  </r>
  <r>
    <x v="1956"/>
    <x v="1"/>
    <x v="0"/>
    <n v="48"/>
    <n v="48"/>
    <x v="71"/>
    <x v="72"/>
    <s v="F"/>
    <x v="1"/>
    <x v="2"/>
    <x v="0"/>
    <x v="3"/>
    <x v="1"/>
    <x v="10"/>
    <x v="2"/>
  </r>
  <r>
    <x v="1957"/>
    <x v="2"/>
    <x v="0"/>
    <n v="94.5"/>
    <n v="94.5"/>
    <x v="71"/>
    <x v="69"/>
    <s v="M"/>
    <x v="1"/>
    <x v="1"/>
    <x v="0"/>
    <x v="3"/>
    <x v="2"/>
    <x v="10"/>
    <x v="1"/>
  </r>
  <r>
    <x v="1958"/>
    <x v="10"/>
    <x v="2"/>
    <n v="58.4"/>
    <n v="175.2"/>
    <x v="71"/>
    <x v="72"/>
    <s v="F"/>
    <x v="1"/>
    <x v="2"/>
    <x v="0"/>
    <x v="3"/>
    <x v="1"/>
    <x v="10"/>
    <x v="2"/>
  </r>
  <r>
    <x v="1959"/>
    <x v="7"/>
    <x v="15"/>
    <n v="42.2"/>
    <n v="548.6"/>
    <x v="71"/>
    <x v="64"/>
    <s v="M"/>
    <x v="0"/>
    <x v="0"/>
    <x v="0"/>
    <x v="25"/>
    <x v="7"/>
    <x v="10"/>
    <x v="1"/>
  </r>
  <r>
    <x v="1960"/>
    <x v="6"/>
    <x v="1"/>
    <n v="152.19999999999999"/>
    <n v="304.39999999999998"/>
    <x v="71"/>
    <x v="67"/>
    <s v="M"/>
    <x v="4"/>
    <x v="1"/>
    <x v="0"/>
    <x v="25"/>
    <x v="3"/>
    <x v="10"/>
    <x v="1"/>
  </r>
  <r>
    <x v="1961"/>
    <x v="6"/>
    <x v="25"/>
    <n v="72"/>
    <n v="1728"/>
    <x v="71"/>
    <x v="67"/>
    <s v="M"/>
    <x v="0"/>
    <x v="1"/>
    <x v="0"/>
    <x v="6"/>
    <x v="3"/>
    <x v="10"/>
    <x v="1"/>
  </r>
  <r>
    <x v="1962"/>
    <x v="1"/>
    <x v="44"/>
    <n v="70.900000000000006"/>
    <n v="1630.7"/>
    <x v="71"/>
    <x v="67"/>
    <s v="F"/>
    <x v="2"/>
    <x v="0"/>
    <x v="0"/>
    <x v="8"/>
    <x v="3"/>
    <x v="10"/>
    <x v="2"/>
  </r>
  <r>
    <x v="1963"/>
    <x v="2"/>
    <x v="1"/>
    <n v="53.7"/>
    <n v="107.4"/>
    <x v="71"/>
    <x v="67"/>
    <s v="M"/>
    <x v="2"/>
    <x v="2"/>
    <x v="0"/>
    <x v="8"/>
    <x v="3"/>
    <x v="10"/>
    <x v="1"/>
  </r>
  <r>
    <x v="1964"/>
    <x v="9"/>
    <x v="12"/>
    <n v="42.9"/>
    <n v="171.6"/>
    <x v="71"/>
    <x v="67"/>
    <s v="F"/>
    <x v="2"/>
    <x v="4"/>
    <x v="0"/>
    <x v="9"/>
    <x v="3"/>
    <x v="10"/>
    <x v="2"/>
  </r>
  <r>
    <x v="1965"/>
    <x v="2"/>
    <x v="3"/>
    <n v="107.5"/>
    <n v="752.5"/>
    <x v="71"/>
    <x v="67"/>
    <s v="M"/>
    <x v="1"/>
    <x v="0"/>
    <x v="0"/>
    <x v="11"/>
    <x v="3"/>
    <x v="10"/>
    <x v="1"/>
  </r>
  <r>
    <x v="1966"/>
    <x v="17"/>
    <x v="27"/>
    <n v="21.5"/>
    <n v="344"/>
    <x v="71"/>
    <x v="67"/>
    <s v="M"/>
    <x v="1"/>
    <x v="1"/>
    <x v="0"/>
    <x v="32"/>
    <x v="3"/>
    <x v="10"/>
    <x v="1"/>
  </r>
  <r>
    <x v="1967"/>
    <x v="3"/>
    <x v="9"/>
    <n v="85.3"/>
    <n v="426.5"/>
    <x v="71"/>
    <x v="72"/>
    <s v="F"/>
    <x v="3"/>
    <x v="0"/>
    <x v="0"/>
    <x v="18"/>
    <x v="1"/>
    <x v="10"/>
    <x v="2"/>
  </r>
  <r>
    <x v="1968"/>
    <x v="7"/>
    <x v="9"/>
    <n v="80.8"/>
    <n v="404"/>
    <x v="71"/>
    <x v="75"/>
    <s v="O"/>
    <x v="1"/>
    <x v="1"/>
    <x v="0"/>
    <x v="19"/>
    <x v="9"/>
    <x v="10"/>
    <x v="3"/>
  </r>
  <r>
    <x v="1969"/>
    <x v="2"/>
    <x v="2"/>
    <n v="123.1"/>
    <n v="369.29999999999995"/>
    <x v="71"/>
    <x v="72"/>
    <s v=""/>
    <x v="2"/>
    <x v="0"/>
    <x v="0"/>
    <x v="21"/>
    <x v="1"/>
    <x v="10"/>
    <x v="0"/>
  </r>
  <r>
    <x v="1970"/>
    <x v="8"/>
    <x v="1"/>
    <n v="36.9"/>
    <n v="73.8"/>
    <x v="71"/>
    <x v="72"/>
    <s v="F"/>
    <x v="2"/>
    <x v="4"/>
    <x v="0"/>
    <x v="51"/>
    <x v="1"/>
    <x v="10"/>
    <x v="2"/>
  </r>
  <r>
    <x v="1971"/>
    <x v="11"/>
    <x v="9"/>
    <n v="40"/>
    <n v="200"/>
    <x v="71"/>
    <x v="67"/>
    <s v="M"/>
    <x v="0"/>
    <x v="0"/>
    <x v="0"/>
    <x v="1"/>
    <x v="3"/>
    <x v="10"/>
    <x v="1"/>
  </r>
  <r>
    <x v="1972"/>
    <x v="6"/>
    <x v="2"/>
    <n v="55.5"/>
    <n v="166.5"/>
    <x v="71"/>
    <x v="67"/>
    <s v="M"/>
    <x v="4"/>
    <x v="2"/>
    <x v="0"/>
    <x v="1"/>
    <x v="3"/>
    <x v="10"/>
    <x v="1"/>
  </r>
  <r>
    <x v="1973"/>
    <x v="0"/>
    <x v="12"/>
    <n v="20.5"/>
    <n v="82"/>
    <x v="71"/>
    <x v="76"/>
    <s v="F"/>
    <x v="4"/>
    <x v="0"/>
    <x v="0"/>
    <x v="1"/>
    <x v="5"/>
    <x v="10"/>
    <x v="2"/>
  </r>
  <r>
    <x v="1974"/>
    <x v="18"/>
    <x v="12"/>
    <n v="50.1"/>
    <n v="200.4"/>
    <x v="71"/>
    <x v="67"/>
    <s v="F"/>
    <x v="4"/>
    <x v="0"/>
    <x v="0"/>
    <x v="1"/>
    <x v="3"/>
    <x v="10"/>
    <x v="2"/>
  </r>
  <r>
    <x v="1975"/>
    <x v="9"/>
    <x v="0"/>
    <n v="35.9"/>
    <n v="35.9"/>
    <x v="71"/>
    <x v="72"/>
    <s v="M"/>
    <x v="1"/>
    <x v="2"/>
    <x v="0"/>
    <x v="1"/>
    <x v="1"/>
    <x v="10"/>
    <x v="1"/>
  </r>
  <r>
    <x v="1976"/>
    <x v="13"/>
    <x v="12"/>
    <n v="29.4"/>
    <n v="117.6"/>
    <x v="72"/>
    <x v="72"/>
    <s v="M"/>
    <x v="2"/>
    <x v="2"/>
    <x v="0"/>
    <x v="33"/>
    <x v="3"/>
    <x v="10"/>
    <x v="1"/>
  </r>
  <r>
    <x v="1977"/>
    <x v="8"/>
    <x v="9"/>
    <n v="29.1"/>
    <n v="145.5"/>
    <x v="72"/>
    <x v="80"/>
    <s v="O"/>
    <x v="2"/>
    <x v="1"/>
    <x v="0"/>
    <x v="33"/>
    <x v="9"/>
    <x v="10"/>
    <x v="3"/>
  </r>
  <r>
    <x v="1978"/>
    <x v="8"/>
    <x v="2"/>
    <n v="33.5"/>
    <n v="100.5"/>
    <x v="72"/>
    <x v="81"/>
    <s v="M"/>
    <x v="0"/>
    <x v="2"/>
    <x v="0"/>
    <x v="22"/>
    <x v="13"/>
    <x v="10"/>
    <x v="1"/>
  </r>
  <r>
    <x v="1979"/>
    <x v="4"/>
    <x v="7"/>
    <n v="36"/>
    <n v="360"/>
    <x v="72"/>
    <x v="67"/>
    <s v="M"/>
    <x v="3"/>
    <x v="2"/>
    <x v="0"/>
    <x v="3"/>
    <x v="7"/>
    <x v="10"/>
    <x v="1"/>
  </r>
  <r>
    <x v="1980"/>
    <x v="16"/>
    <x v="2"/>
    <n v="57.3"/>
    <n v="171.89999999999998"/>
    <x v="72"/>
    <x v="73"/>
    <s v="F"/>
    <x v="0"/>
    <x v="2"/>
    <x v="0"/>
    <x v="3"/>
    <x v="5"/>
    <x v="10"/>
    <x v="2"/>
  </r>
  <r>
    <x v="1981"/>
    <x v="1"/>
    <x v="0"/>
    <n v="81.400000000000006"/>
    <n v="81.400000000000006"/>
    <x v="72"/>
    <x v="72"/>
    <s v="F"/>
    <x v="2"/>
    <x v="2"/>
    <x v="0"/>
    <x v="3"/>
    <x v="3"/>
    <x v="10"/>
    <x v="2"/>
  </r>
  <r>
    <x v="1982"/>
    <x v="10"/>
    <x v="1"/>
    <n v="35.299999999999997"/>
    <n v="70.599999999999994"/>
    <x v="72"/>
    <x v="73"/>
    <s v="M"/>
    <x v="0"/>
    <x v="2"/>
    <x v="0"/>
    <x v="3"/>
    <x v="5"/>
    <x v="10"/>
    <x v="1"/>
  </r>
  <r>
    <x v="1983"/>
    <x v="3"/>
    <x v="0"/>
    <n v="36.1"/>
    <n v="36.1"/>
    <x v="72"/>
    <x v="72"/>
    <s v="F"/>
    <x v="4"/>
    <x v="0"/>
    <x v="0"/>
    <x v="3"/>
    <x v="3"/>
    <x v="10"/>
    <x v="2"/>
  </r>
  <r>
    <x v="1984"/>
    <x v="1"/>
    <x v="1"/>
    <n v="36.700000000000003"/>
    <n v="73.400000000000006"/>
    <x v="72"/>
    <x v="69"/>
    <s v="F"/>
    <x v="0"/>
    <x v="2"/>
    <x v="0"/>
    <x v="3"/>
    <x v="1"/>
    <x v="10"/>
    <x v="2"/>
  </r>
  <r>
    <x v="1985"/>
    <x v="10"/>
    <x v="0"/>
    <n v="20.9"/>
    <n v="20.9"/>
    <x v="72"/>
    <x v="69"/>
    <s v="F"/>
    <x v="0"/>
    <x v="4"/>
    <x v="0"/>
    <x v="3"/>
    <x v="1"/>
    <x v="10"/>
    <x v="2"/>
  </r>
  <r>
    <x v="1986"/>
    <x v="12"/>
    <x v="2"/>
    <n v="58.8"/>
    <n v="176.39999999999998"/>
    <x v="72"/>
    <x v="73"/>
    <s v="M"/>
    <x v="0"/>
    <x v="2"/>
    <x v="0"/>
    <x v="25"/>
    <x v="5"/>
    <x v="10"/>
    <x v="1"/>
  </r>
  <r>
    <x v="1987"/>
    <x v="2"/>
    <x v="2"/>
    <n v="97.6"/>
    <n v="292.79999999999995"/>
    <x v="73"/>
    <x v="76"/>
    <s v=""/>
    <x v="0"/>
    <x v="0"/>
    <x v="0"/>
    <x v="6"/>
    <x v="1"/>
    <x v="10"/>
    <x v="0"/>
  </r>
  <r>
    <x v="1988"/>
    <x v="1"/>
    <x v="1"/>
    <n v="58.7"/>
    <n v="117.4"/>
    <x v="73"/>
    <x v="73"/>
    <s v="F"/>
    <x v="0"/>
    <x v="1"/>
    <x v="0"/>
    <x v="6"/>
    <x v="2"/>
    <x v="10"/>
    <x v="2"/>
  </r>
  <r>
    <x v="1989"/>
    <x v="6"/>
    <x v="9"/>
    <n v="71.900000000000006"/>
    <n v="359.5"/>
    <x v="73"/>
    <x v="69"/>
    <s v=""/>
    <x v="0"/>
    <x v="1"/>
    <x v="0"/>
    <x v="6"/>
    <x v="3"/>
    <x v="10"/>
    <x v="0"/>
  </r>
  <r>
    <x v="1990"/>
    <x v="1"/>
    <x v="1"/>
    <n v="62.4"/>
    <n v="124.8"/>
    <x v="73"/>
    <x v="76"/>
    <s v=""/>
    <x v="0"/>
    <x v="1"/>
    <x v="0"/>
    <x v="8"/>
    <x v="1"/>
    <x v="10"/>
    <x v="0"/>
  </r>
  <r>
    <x v="1991"/>
    <x v="6"/>
    <x v="27"/>
    <n v="53.8"/>
    <n v="860.8"/>
    <x v="73"/>
    <x v="69"/>
    <s v="F"/>
    <x v="1"/>
    <x v="0"/>
    <x v="0"/>
    <x v="8"/>
    <x v="3"/>
    <x v="10"/>
    <x v="2"/>
  </r>
  <r>
    <x v="1992"/>
    <x v="9"/>
    <x v="0"/>
    <n v="43.8"/>
    <n v="43.8"/>
    <x v="73"/>
    <x v="80"/>
    <s v="F"/>
    <x v="0"/>
    <x v="2"/>
    <x v="0"/>
    <x v="8"/>
    <x v="6"/>
    <x v="10"/>
    <x v="2"/>
  </r>
  <r>
    <x v="1993"/>
    <x v="5"/>
    <x v="2"/>
    <n v="53.6"/>
    <n v="160.80000000000001"/>
    <x v="73"/>
    <x v="69"/>
    <s v="M"/>
    <x v="3"/>
    <x v="0"/>
    <x v="0"/>
    <x v="8"/>
    <x v="3"/>
    <x v="10"/>
    <x v="1"/>
  </r>
  <r>
    <x v="1994"/>
    <x v="12"/>
    <x v="1"/>
    <n v="84.3"/>
    <n v="168.6"/>
    <x v="73"/>
    <x v="73"/>
    <s v="M"/>
    <x v="4"/>
    <x v="1"/>
    <x v="0"/>
    <x v="8"/>
    <x v="2"/>
    <x v="10"/>
    <x v="1"/>
  </r>
  <r>
    <x v="1995"/>
    <x v="6"/>
    <x v="11"/>
    <n v="117.9"/>
    <n v="1061.1000000000001"/>
    <x v="73"/>
    <x v="69"/>
    <s v="F"/>
    <x v="1"/>
    <x v="2"/>
    <x v="0"/>
    <x v="8"/>
    <x v="3"/>
    <x v="10"/>
    <x v="2"/>
  </r>
  <r>
    <x v="1996"/>
    <x v="4"/>
    <x v="8"/>
    <n v="30"/>
    <n v="240"/>
    <x v="73"/>
    <x v="69"/>
    <s v="F"/>
    <x v="1"/>
    <x v="0"/>
    <x v="0"/>
    <x v="26"/>
    <x v="3"/>
    <x v="10"/>
    <x v="2"/>
  </r>
  <r>
    <x v="1997"/>
    <x v="14"/>
    <x v="2"/>
    <n v="37.299999999999997"/>
    <n v="111.89999999999999"/>
    <x v="73"/>
    <x v="69"/>
    <s v="M"/>
    <x v="2"/>
    <x v="0"/>
    <x v="0"/>
    <x v="9"/>
    <x v="3"/>
    <x v="10"/>
    <x v="1"/>
  </r>
  <r>
    <x v="1998"/>
    <x v="4"/>
    <x v="11"/>
    <n v="25.1"/>
    <n v="225.9"/>
    <x v="73"/>
    <x v="76"/>
    <s v="M"/>
    <x v="1"/>
    <x v="2"/>
    <x v="0"/>
    <x v="11"/>
    <x v="1"/>
    <x v="10"/>
    <x v="1"/>
  </r>
  <r>
    <x v="1999"/>
    <x v="8"/>
    <x v="5"/>
    <n v="36"/>
    <n v="396"/>
    <x v="73"/>
    <x v="82"/>
    <s v="M"/>
    <x v="1"/>
    <x v="0"/>
    <x v="0"/>
    <x v="18"/>
    <x v="14"/>
    <x v="10"/>
    <x v="1"/>
  </r>
  <r>
    <x v="2000"/>
    <x v="16"/>
    <x v="2"/>
    <n v="48.5"/>
    <n v="145.5"/>
    <x v="73"/>
    <x v="83"/>
    <s v="F"/>
    <x v="1"/>
    <x v="0"/>
    <x v="0"/>
    <x v="19"/>
    <x v="5"/>
    <x v="10"/>
    <x v="2"/>
  </r>
  <r>
    <x v="2001"/>
    <x v="17"/>
    <x v="13"/>
    <n v="21.1"/>
    <n v="126.60000000000001"/>
    <x v="73"/>
    <x v="69"/>
    <s v="M"/>
    <x v="1"/>
    <x v="2"/>
    <x v="0"/>
    <x v="21"/>
    <x v="3"/>
    <x v="10"/>
    <x v="1"/>
  </r>
  <r>
    <x v="2002"/>
    <x v="15"/>
    <x v="21"/>
    <n v="43.2"/>
    <n v="604.80000000000007"/>
    <x v="73"/>
    <x v="69"/>
    <s v="O"/>
    <x v="0"/>
    <x v="1"/>
    <x v="0"/>
    <x v="21"/>
    <x v="3"/>
    <x v="10"/>
    <x v="3"/>
  </r>
  <r>
    <x v="2003"/>
    <x v="9"/>
    <x v="1"/>
    <n v="21.1"/>
    <n v="42.2"/>
    <x v="73"/>
    <x v="69"/>
    <s v=""/>
    <x v="3"/>
    <x v="1"/>
    <x v="0"/>
    <x v="21"/>
    <x v="3"/>
    <x v="10"/>
    <x v="0"/>
  </r>
  <r>
    <x v="2004"/>
    <x v="6"/>
    <x v="12"/>
    <n v="41.3"/>
    <n v="165.2"/>
    <x v="73"/>
    <x v="76"/>
    <s v="F"/>
    <x v="3"/>
    <x v="2"/>
    <x v="0"/>
    <x v="1"/>
    <x v="1"/>
    <x v="10"/>
    <x v="2"/>
  </r>
  <r>
    <x v="2005"/>
    <x v="8"/>
    <x v="1"/>
    <n v="15.3"/>
    <n v="30.6"/>
    <x v="73"/>
    <x v="73"/>
    <s v=""/>
    <x v="2"/>
    <x v="2"/>
    <x v="0"/>
    <x v="1"/>
    <x v="2"/>
    <x v="10"/>
    <x v="0"/>
  </r>
  <r>
    <x v="2006"/>
    <x v="1"/>
    <x v="0"/>
    <n v="54.6"/>
    <n v="54.6"/>
    <x v="73"/>
    <x v="76"/>
    <s v="M"/>
    <x v="1"/>
    <x v="1"/>
    <x v="0"/>
    <x v="2"/>
    <x v="1"/>
    <x v="10"/>
    <x v="1"/>
  </r>
  <r>
    <x v="2007"/>
    <x v="8"/>
    <x v="0"/>
    <n v="15.9"/>
    <n v="15.9"/>
    <x v="73"/>
    <x v="69"/>
    <s v="M"/>
    <x v="0"/>
    <x v="1"/>
    <x v="0"/>
    <x v="22"/>
    <x v="3"/>
    <x v="10"/>
    <x v="1"/>
  </r>
  <r>
    <x v="2008"/>
    <x v="9"/>
    <x v="0"/>
    <n v="50.2"/>
    <n v="50.2"/>
    <x v="73"/>
    <x v="76"/>
    <s v="F"/>
    <x v="3"/>
    <x v="2"/>
    <x v="0"/>
    <x v="34"/>
    <x v="1"/>
    <x v="10"/>
    <x v="2"/>
  </r>
  <r>
    <x v="2009"/>
    <x v="11"/>
    <x v="12"/>
    <n v="85.1"/>
    <n v="340.4"/>
    <x v="73"/>
    <x v="69"/>
    <s v="F"/>
    <x v="3"/>
    <x v="4"/>
    <x v="0"/>
    <x v="34"/>
    <x v="3"/>
    <x v="10"/>
    <x v="2"/>
  </r>
  <r>
    <x v="2010"/>
    <x v="11"/>
    <x v="1"/>
    <n v="41.4"/>
    <n v="82.8"/>
    <x v="73"/>
    <x v="69"/>
    <s v="F"/>
    <x v="0"/>
    <x v="2"/>
    <x v="0"/>
    <x v="3"/>
    <x v="3"/>
    <x v="10"/>
    <x v="2"/>
  </r>
  <r>
    <x v="2011"/>
    <x v="4"/>
    <x v="3"/>
    <n v="32.700000000000003"/>
    <n v="228.90000000000003"/>
    <x v="73"/>
    <x v="69"/>
    <s v="F"/>
    <x v="2"/>
    <x v="1"/>
    <x v="0"/>
    <x v="3"/>
    <x v="3"/>
    <x v="10"/>
    <x v="2"/>
  </r>
  <r>
    <x v="2012"/>
    <x v="4"/>
    <x v="1"/>
    <n v="41.6"/>
    <n v="83.2"/>
    <x v="73"/>
    <x v="76"/>
    <s v="M"/>
    <x v="4"/>
    <x v="1"/>
    <x v="0"/>
    <x v="3"/>
    <x v="1"/>
    <x v="10"/>
    <x v="1"/>
  </r>
  <r>
    <x v="2013"/>
    <x v="5"/>
    <x v="12"/>
    <n v="64.8"/>
    <n v="259.2"/>
    <x v="73"/>
    <x v="69"/>
    <s v=""/>
    <x v="2"/>
    <x v="0"/>
    <x v="0"/>
    <x v="3"/>
    <x v="3"/>
    <x v="10"/>
    <x v="0"/>
  </r>
  <r>
    <x v="2014"/>
    <x v="15"/>
    <x v="1"/>
    <n v="33.6"/>
    <n v="67.2"/>
    <x v="73"/>
    <x v="69"/>
    <s v="M"/>
    <x v="0"/>
    <x v="2"/>
    <x v="0"/>
    <x v="3"/>
    <x v="3"/>
    <x v="10"/>
    <x v="1"/>
  </r>
  <r>
    <x v="2015"/>
    <x v="6"/>
    <x v="2"/>
    <n v="100.7"/>
    <n v="302.10000000000002"/>
    <x v="73"/>
    <x v="69"/>
    <s v=""/>
    <x v="1"/>
    <x v="0"/>
    <x v="0"/>
    <x v="3"/>
    <x v="3"/>
    <x v="10"/>
    <x v="0"/>
  </r>
  <r>
    <x v="2016"/>
    <x v="4"/>
    <x v="1"/>
    <n v="49.3"/>
    <n v="98.6"/>
    <x v="74"/>
    <x v="73"/>
    <s v="F"/>
    <x v="4"/>
    <x v="2"/>
    <x v="0"/>
    <x v="3"/>
    <x v="1"/>
    <x v="11"/>
    <x v="2"/>
  </r>
  <r>
    <x v="2017"/>
    <x v="2"/>
    <x v="13"/>
    <n v="97"/>
    <n v="582"/>
    <x v="74"/>
    <x v="83"/>
    <s v="M"/>
    <x v="2"/>
    <x v="2"/>
    <x v="0"/>
    <x v="3"/>
    <x v="2"/>
    <x v="11"/>
    <x v="1"/>
  </r>
  <r>
    <x v="2018"/>
    <x v="0"/>
    <x v="13"/>
    <n v="25.2"/>
    <n v="151.19999999999999"/>
    <x v="74"/>
    <x v="83"/>
    <s v="F"/>
    <x v="4"/>
    <x v="2"/>
    <x v="0"/>
    <x v="3"/>
    <x v="2"/>
    <x v="11"/>
    <x v="2"/>
  </r>
  <r>
    <x v="2019"/>
    <x v="0"/>
    <x v="5"/>
    <n v="12.2"/>
    <n v="134.19999999999999"/>
    <x v="74"/>
    <x v="76"/>
    <s v=""/>
    <x v="0"/>
    <x v="1"/>
    <x v="0"/>
    <x v="3"/>
    <x v="3"/>
    <x v="11"/>
    <x v="0"/>
  </r>
  <r>
    <x v="2020"/>
    <x v="8"/>
    <x v="3"/>
    <n v="38.799999999999997"/>
    <n v="271.59999999999997"/>
    <x v="74"/>
    <x v="73"/>
    <s v="F"/>
    <x v="1"/>
    <x v="1"/>
    <x v="0"/>
    <x v="23"/>
    <x v="1"/>
    <x v="11"/>
    <x v="2"/>
  </r>
  <r>
    <x v="2021"/>
    <x v="2"/>
    <x v="12"/>
    <n v="53.2"/>
    <n v="212.8"/>
    <x v="74"/>
    <x v="76"/>
    <s v="M"/>
    <x v="0"/>
    <x v="2"/>
    <x v="0"/>
    <x v="8"/>
    <x v="3"/>
    <x v="11"/>
    <x v="1"/>
  </r>
  <r>
    <x v="2022"/>
    <x v="6"/>
    <x v="3"/>
    <n v="151"/>
    <n v="1057"/>
    <x v="74"/>
    <x v="76"/>
    <s v="O"/>
    <x v="1"/>
    <x v="1"/>
    <x v="0"/>
    <x v="8"/>
    <x v="3"/>
    <x v="11"/>
    <x v="3"/>
  </r>
  <r>
    <x v="2023"/>
    <x v="1"/>
    <x v="1"/>
    <n v="37.1"/>
    <n v="74.2"/>
    <x v="74"/>
    <x v="76"/>
    <s v="F"/>
    <x v="4"/>
    <x v="0"/>
    <x v="0"/>
    <x v="8"/>
    <x v="3"/>
    <x v="11"/>
    <x v="2"/>
  </r>
  <r>
    <x v="2024"/>
    <x v="5"/>
    <x v="1"/>
    <n v="38.9"/>
    <n v="77.8"/>
    <x v="74"/>
    <x v="76"/>
    <s v="M"/>
    <x v="4"/>
    <x v="0"/>
    <x v="0"/>
    <x v="8"/>
    <x v="3"/>
    <x v="11"/>
    <x v="1"/>
  </r>
  <r>
    <x v="2025"/>
    <x v="10"/>
    <x v="1"/>
    <n v="35.200000000000003"/>
    <n v="70.400000000000006"/>
    <x v="74"/>
    <x v="76"/>
    <s v="M"/>
    <x v="0"/>
    <x v="2"/>
    <x v="0"/>
    <x v="17"/>
    <x v="3"/>
    <x v="11"/>
    <x v="1"/>
  </r>
  <r>
    <x v="2026"/>
    <x v="0"/>
    <x v="1"/>
    <n v="22.3"/>
    <n v="44.6"/>
    <x v="74"/>
    <x v="73"/>
    <s v="F"/>
    <x v="1"/>
    <x v="0"/>
    <x v="0"/>
    <x v="9"/>
    <x v="1"/>
    <x v="11"/>
    <x v="2"/>
  </r>
  <r>
    <x v="2027"/>
    <x v="9"/>
    <x v="0"/>
    <n v="43.3"/>
    <n v="43.3"/>
    <x v="74"/>
    <x v="83"/>
    <s v="F"/>
    <x v="0"/>
    <x v="2"/>
    <x v="0"/>
    <x v="11"/>
    <x v="2"/>
    <x v="11"/>
    <x v="2"/>
  </r>
  <r>
    <x v="2028"/>
    <x v="6"/>
    <x v="13"/>
    <n v="75.900000000000006"/>
    <n v="455.40000000000003"/>
    <x v="74"/>
    <x v="80"/>
    <s v="M"/>
    <x v="0"/>
    <x v="0"/>
    <x v="0"/>
    <x v="11"/>
    <x v="4"/>
    <x v="11"/>
    <x v="1"/>
  </r>
  <r>
    <x v="2029"/>
    <x v="6"/>
    <x v="2"/>
    <n v="78.7"/>
    <n v="236.10000000000002"/>
    <x v="74"/>
    <x v="78"/>
    <s v="F"/>
    <x v="2"/>
    <x v="1"/>
    <x v="0"/>
    <x v="11"/>
    <x v="5"/>
    <x v="11"/>
    <x v="2"/>
  </r>
  <r>
    <x v="2030"/>
    <x v="1"/>
    <x v="0"/>
    <n v="66.3"/>
    <n v="66.3"/>
    <x v="74"/>
    <x v="78"/>
    <s v="F"/>
    <x v="0"/>
    <x v="2"/>
    <x v="0"/>
    <x v="19"/>
    <x v="5"/>
    <x v="11"/>
    <x v="2"/>
  </r>
  <r>
    <x v="2031"/>
    <x v="8"/>
    <x v="1"/>
    <n v="33.6"/>
    <n v="67.2"/>
    <x v="74"/>
    <x v="69"/>
    <s v="M"/>
    <x v="0"/>
    <x v="1"/>
    <x v="0"/>
    <x v="19"/>
    <x v="7"/>
    <x v="11"/>
    <x v="1"/>
  </r>
  <r>
    <x v="2032"/>
    <x v="2"/>
    <x v="3"/>
    <n v="61.4"/>
    <n v="429.8"/>
    <x v="74"/>
    <x v="76"/>
    <s v="M"/>
    <x v="4"/>
    <x v="0"/>
    <x v="0"/>
    <x v="19"/>
    <x v="3"/>
    <x v="11"/>
    <x v="1"/>
  </r>
  <r>
    <x v="2033"/>
    <x v="8"/>
    <x v="1"/>
    <n v="17.5"/>
    <n v="35"/>
    <x v="74"/>
    <x v="83"/>
    <s v="F"/>
    <x v="0"/>
    <x v="0"/>
    <x v="0"/>
    <x v="21"/>
    <x v="2"/>
    <x v="11"/>
    <x v="2"/>
  </r>
  <r>
    <x v="2034"/>
    <x v="8"/>
    <x v="1"/>
    <n v="32.5"/>
    <n v="65"/>
    <x v="74"/>
    <x v="83"/>
    <s v="F"/>
    <x v="1"/>
    <x v="0"/>
    <x v="0"/>
    <x v="21"/>
    <x v="2"/>
    <x v="11"/>
    <x v="2"/>
  </r>
  <r>
    <x v="2035"/>
    <x v="4"/>
    <x v="0"/>
    <n v="34.6"/>
    <n v="34.6"/>
    <x v="74"/>
    <x v="76"/>
    <s v="F"/>
    <x v="4"/>
    <x v="0"/>
    <x v="0"/>
    <x v="21"/>
    <x v="3"/>
    <x v="11"/>
    <x v="2"/>
  </r>
  <r>
    <x v="2036"/>
    <x v="2"/>
    <x v="0"/>
    <n v="75.900000000000006"/>
    <n v="75.900000000000006"/>
    <x v="74"/>
    <x v="69"/>
    <s v="M"/>
    <x v="1"/>
    <x v="2"/>
    <x v="0"/>
    <x v="21"/>
    <x v="7"/>
    <x v="11"/>
    <x v="1"/>
  </r>
  <r>
    <x v="2037"/>
    <x v="1"/>
    <x v="2"/>
    <n v="42.1"/>
    <n v="126.30000000000001"/>
    <x v="74"/>
    <x v="83"/>
    <s v="M"/>
    <x v="1"/>
    <x v="1"/>
    <x v="0"/>
    <x v="21"/>
    <x v="2"/>
    <x v="11"/>
    <x v="1"/>
  </r>
  <r>
    <x v="2038"/>
    <x v="7"/>
    <x v="2"/>
    <n v="65.3"/>
    <n v="195.89999999999998"/>
    <x v="74"/>
    <x v="79"/>
    <s v="M"/>
    <x v="0"/>
    <x v="0"/>
    <x v="0"/>
    <x v="1"/>
    <x v="6"/>
    <x v="11"/>
    <x v="1"/>
  </r>
  <r>
    <x v="2039"/>
    <x v="15"/>
    <x v="0"/>
    <n v="20.6"/>
    <n v="20.6"/>
    <x v="74"/>
    <x v="83"/>
    <s v="M"/>
    <x v="3"/>
    <x v="0"/>
    <x v="0"/>
    <x v="42"/>
    <x v="2"/>
    <x v="11"/>
    <x v="1"/>
  </r>
  <r>
    <x v="2040"/>
    <x v="8"/>
    <x v="3"/>
    <n v="16.5"/>
    <n v="115.5"/>
    <x v="74"/>
    <x v="76"/>
    <s v="M"/>
    <x v="1"/>
    <x v="1"/>
    <x v="0"/>
    <x v="2"/>
    <x v="3"/>
    <x v="11"/>
    <x v="1"/>
  </r>
  <r>
    <x v="2041"/>
    <x v="16"/>
    <x v="7"/>
    <n v="36.200000000000003"/>
    <n v="362"/>
    <x v="74"/>
    <x v="73"/>
    <s v="M"/>
    <x v="0"/>
    <x v="2"/>
    <x v="0"/>
    <x v="2"/>
    <x v="1"/>
    <x v="11"/>
    <x v="1"/>
  </r>
  <r>
    <x v="2042"/>
    <x v="6"/>
    <x v="0"/>
    <n v="53.2"/>
    <n v="53.2"/>
    <x v="74"/>
    <x v="76"/>
    <s v="F"/>
    <x v="0"/>
    <x v="1"/>
    <x v="0"/>
    <x v="22"/>
    <x v="3"/>
    <x v="11"/>
    <x v="2"/>
  </r>
  <r>
    <x v="2043"/>
    <x v="2"/>
    <x v="21"/>
    <n v="176"/>
    <n v="2464"/>
    <x v="74"/>
    <x v="76"/>
    <s v="F"/>
    <x v="0"/>
    <x v="1"/>
    <x v="0"/>
    <x v="3"/>
    <x v="3"/>
    <x v="11"/>
    <x v="2"/>
  </r>
  <r>
    <x v="2044"/>
    <x v="1"/>
    <x v="0"/>
    <n v="52.4"/>
    <n v="52.4"/>
    <x v="74"/>
    <x v="76"/>
    <s v="M"/>
    <x v="1"/>
    <x v="0"/>
    <x v="0"/>
    <x v="3"/>
    <x v="3"/>
    <x v="11"/>
    <x v="1"/>
  </r>
  <r>
    <x v="2045"/>
    <x v="10"/>
    <x v="2"/>
    <n v="48.2"/>
    <n v="144.60000000000002"/>
    <x v="74"/>
    <x v="76"/>
    <s v="F"/>
    <x v="1"/>
    <x v="2"/>
    <x v="0"/>
    <x v="3"/>
    <x v="3"/>
    <x v="11"/>
    <x v="2"/>
  </r>
  <r>
    <x v="2046"/>
    <x v="15"/>
    <x v="0"/>
    <n v="51.6"/>
    <n v="51.6"/>
    <x v="74"/>
    <x v="78"/>
    <s v="F"/>
    <x v="2"/>
    <x v="1"/>
    <x v="0"/>
    <x v="3"/>
    <x v="5"/>
    <x v="11"/>
    <x v="2"/>
  </r>
  <r>
    <x v="2047"/>
    <x v="0"/>
    <x v="12"/>
    <n v="33.700000000000003"/>
    <n v="134.80000000000001"/>
    <x v="75"/>
    <x v="73"/>
    <s v="M"/>
    <x v="0"/>
    <x v="0"/>
    <x v="0"/>
    <x v="3"/>
    <x v="3"/>
    <x v="11"/>
    <x v="1"/>
  </r>
  <r>
    <x v="2048"/>
    <x v="4"/>
    <x v="7"/>
    <n v="36.299999999999997"/>
    <n v="363"/>
    <x v="75"/>
    <x v="83"/>
    <s v="F"/>
    <x v="4"/>
    <x v="1"/>
    <x v="0"/>
    <x v="3"/>
    <x v="1"/>
    <x v="11"/>
    <x v="2"/>
  </r>
  <r>
    <x v="2049"/>
    <x v="8"/>
    <x v="0"/>
    <n v="23.4"/>
    <n v="23.4"/>
    <x v="75"/>
    <x v="80"/>
    <s v="F"/>
    <x v="1"/>
    <x v="2"/>
    <x v="0"/>
    <x v="3"/>
    <x v="0"/>
    <x v="11"/>
    <x v="2"/>
  </r>
  <r>
    <x v="2050"/>
    <x v="15"/>
    <x v="8"/>
    <n v="56.6"/>
    <n v="452.8"/>
    <x v="75"/>
    <x v="83"/>
    <s v="F"/>
    <x v="1"/>
    <x v="0"/>
    <x v="0"/>
    <x v="3"/>
    <x v="1"/>
    <x v="11"/>
    <x v="2"/>
  </r>
  <r>
    <x v="2051"/>
    <x v="15"/>
    <x v="1"/>
    <n v="26.8"/>
    <n v="53.6"/>
    <x v="75"/>
    <x v="73"/>
    <s v="M"/>
    <x v="0"/>
    <x v="0"/>
    <x v="0"/>
    <x v="4"/>
    <x v="3"/>
    <x v="11"/>
    <x v="1"/>
  </r>
  <r>
    <x v="2052"/>
    <x v="0"/>
    <x v="2"/>
    <n v="11.3"/>
    <n v="33.900000000000006"/>
    <x v="75"/>
    <x v="83"/>
    <s v="M"/>
    <x v="2"/>
    <x v="0"/>
    <x v="0"/>
    <x v="25"/>
    <x v="1"/>
    <x v="11"/>
    <x v="1"/>
  </r>
  <r>
    <x v="2053"/>
    <x v="6"/>
    <x v="2"/>
    <n v="60.1"/>
    <n v="180.3"/>
    <x v="75"/>
    <x v="78"/>
    <s v="F"/>
    <x v="0"/>
    <x v="0"/>
    <x v="0"/>
    <x v="7"/>
    <x v="2"/>
    <x v="11"/>
    <x v="2"/>
  </r>
  <r>
    <x v="2054"/>
    <x v="0"/>
    <x v="5"/>
    <n v="27.7"/>
    <n v="304.7"/>
    <x v="75"/>
    <x v="80"/>
    <s v="F"/>
    <x v="0"/>
    <x v="0"/>
    <x v="0"/>
    <x v="8"/>
    <x v="0"/>
    <x v="11"/>
    <x v="2"/>
  </r>
  <r>
    <x v="2055"/>
    <x v="15"/>
    <x v="0"/>
    <n v="71.400000000000006"/>
    <n v="71.400000000000006"/>
    <x v="75"/>
    <x v="78"/>
    <s v="M"/>
    <x v="0"/>
    <x v="2"/>
    <x v="0"/>
    <x v="8"/>
    <x v="2"/>
    <x v="11"/>
    <x v="1"/>
  </r>
  <r>
    <x v="2056"/>
    <x v="2"/>
    <x v="1"/>
    <n v="66.7"/>
    <n v="133.4"/>
    <x v="75"/>
    <x v="73"/>
    <s v="F"/>
    <x v="0"/>
    <x v="2"/>
    <x v="0"/>
    <x v="8"/>
    <x v="3"/>
    <x v="11"/>
    <x v="2"/>
  </r>
  <r>
    <x v="2057"/>
    <x v="13"/>
    <x v="9"/>
    <n v="39.1"/>
    <n v="195.5"/>
    <x v="75"/>
    <x v="73"/>
    <s v="F"/>
    <x v="0"/>
    <x v="0"/>
    <x v="0"/>
    <x v="8"/>
    <x v="3"/>
    <x v="11"/>
    <x v="2"/>
  </r>
  <r>
    <x v="2058"/>
    <x v="8"/>
    <x v="12"/>
    <n v="24.9"/>
    <n v="99.6"/>
    <x v="75"/>
    <x v="80"/>
    <s v="M"/>
    <x v="1"/>
    <x v="2"/>
    <x v="0"/>
    <x v="8"/>
    <x v="0"/>
    <x v="11"/>
    <x v="1"/>
  </r>
  <r>
    <x v="2059"/>
    <x v="5"/>
    <x v="9"/>
    <n v="29.2"/>
    <n v="146"/>
    <x v="75"/>
    <x v="73"/>
    <s v="M"/>
    <x v="0"/>
    <x v="2"/>
    <x v="0"/>
    <x v="17"/>
    <x v="3"/>
    <x v="11"/>
    <x v="1"/>
  </r>
  <r>
    <x v="2060"/>
    <x v="13"/>
    <x v="21"/>
    <n v="28.3"/>
    <n v="396.2"/>
    <x v="75"/>
    <x v="83"/>
    <s v="F"/>
    <x v="1"/>
    <x v="0"/>
    <x v="0"/>
    <x v="11"/>
    <x v="1"/>
    <x v="11"/>
    <x v="2"/>
  </r>
  <r>
    <x v="2061"/>
    <x v="9"/>
    <x v="2"/>
    <n v="37.799999999999997"/>
    <n v="113.39999999999999"/>
    <x v="75"/>
    <x v="73"/>
    <s v="F"/>
    <x v="0"/>
    <x v="1"/>
    <x v="0"/>
    <x v="11"/>
    <x v="3"/>
    <x v="11"/>
    <x v="2"/>
  </r>
  <r>
    <x v="2062"/>
    <x v="14"/>
    <x v="3"/>
    <n v="28.1"/>
    <n v="196.70000000000002"/>
    <x v="75"/>
    <x v="79"/>
    <s v="F"/>
    <x v="2"/>
    <x v="0"/>
    <x v="0"/>
    <x v="11"/>
    <x v="4"/>
    <x v="11"/>
    <x v="2"/>
  </r>
  <r>
    <x v="2063"/>
    <x v="1"/>
    <x v="2"/>
    <n v="59.7"/>
    <n v="179.10000000000002"/>
    <x v="75"/>
    <x v="83"/>
    <s v="F"/>
    <x v="2"/>
    <x v="0"/>
    <x v="0"/>
    <x v="11"/>
    <x v="1"/>
    <x v="11"/>
    <x v="2"/>
  </r>
  <r>
    <x v="2064"/>
    <x v="16"/>
    <x v="0"/>
    <n v="71.900000000000006"/>
    <n v="71.900000000000006"/>
    <x v="75"/>
    <x v="73"/>
    <s v="M"/>
    <x v="1"/>
    <x v="1"/>
    <x v="0"/>
    <x v="11"/>
    <x v="3"/>
    <x v="11"/>
    <x v="1"/>
  </r>
  <r>
    <x v="2065"/>
    <x v="1"/>
    <x v="1"/>
    <n v="56.9"/>
    <n v="113.8"/>
    <x v="75"/>
    <x v="73"/>
    <s v="M"/>
    <x v="2"/>
    <x v="0"/>
    <x v="0"/>
    <x v="13"/>
    <x v="3"/>
    <x v="11"/>
    <x v="1"/>
  </r>
  <r>
    <x v="2066"/>
    <x v="8"/>
    <x v="1"/>
    <n v="15.8"/>
    <n v="31.6"/>
    <x v="75"/>
    <x v="78"/>
    <s v="F"/>
    <x v="2"/>
    <x v="1"/>
    <x v="0"/>
    <x v="1"/>
    <x v="2"/>
    <x v="11"/>
    <x v="2"/>
  </r>
  <r>
    <x v="2067"/>
    <x v="11"/>
    <x v="12"/>
    <n v="61.7"/>
    <n v="246.8"/>
    <x v="75"/>
    <x v="83"/>
    <s v="F"/>
    <x v="2"/>
    <x v="0"/>
    <x v="0"/>
    <x v="22"/>
    <x v="1"/>
    <x v="11"/>
    <x v="2"/>
  </r>
  <r>
    <x v="2068"/>
    <x v="2"/>
    <x v="7"/>
    <n v="105.2"/>
    <n v="1052"/>
    <x v="75"/>
    <x v="83"/>
    <s v="M"/>
    <x v="1"/>
    <x v="4"/>
    <x v="0"/>
    <x v="3"/>
    <x v="1"/>
    <x v="11"/>
    <x v="1"/>
  </r>
  <r>
    <x v="2069"/>
    <x v="0"/>
    <x v="1"/>
    <n v="17"/>
    <n v="34"/>
    <x v="75"/>
    <x v="83"/>
    <s v="F"/>
    <x v="2"/>
    <x v="0"/>
    <x v="0"/>
    <x v="3"/>
    <x v="1"/>
    <x v="11"/>
    <x v="2"/>
  </r>
  <r>
    <x v="2070"/>
    <x v="6"/>
    <x v="2"/>
    <n v="84.1"/>
    <n v="252.29999999999998"/>
    <x v="75"/>
    <x v="73"/>
    <s v="M"/>
    <x v="2"/>
    <x v="0"/>
    <x v="0"/>
    <x v="3"/>
    <x v="3"/>
    <x v="11"/>
    <x v="1"/>
  </r>
  <r>
    <x v="2071"/>
    <x v="3"/>
    <x v="12"/>
    <n v="59.5"/>
    <n v="238"/>
    <x v="75"/>
    <x v="80"/>
    <s v="M"/>
    <x v="0"/>
    <x v="2"/>
    <x v="0"/>
    <x v="3"/>
    <x v="0"/>
    <x v="11"/>
    <x v="1"/>
  </r>
  <r>
    <x v="2072"/>
    <x v="8"/>
    <x v="1"/>
    <n v="57.5"/>
    <n v="115"/>
    <x v="75"/>
    <x v="83"/>
    <s v="M"/>
    <x v="1"/>
    <x v="2"/>
    <x v="0"/>
    <x v="3"/>
    <x v="1"/>
    <x v="11"/>
    <x v="1"/>
  </r>
  <r>
    <x v="2073"/>
    <x v="8"/>
    <x v="0"/>
    <n v="34.299999999999997"/>
    <n v="34.299999999999997"/>
    <x v="75"/>
    <x v="73"/>
    <s v="F"/>
    <x v="4"/>
    <x v="2"/>
    <x v="0"/>
    <x v="3"/>
    <x v="3"/>
    <x v="11"/>
    <x v="2"/>
  </r>
  <r>
    <x v="2074"/>
    <x v="5"/>
    <x v="1"/>
    <n v="27.8"/>
    <n v="55.6"/>
    <x v="76"/>
    <x v="78"/>
    <s v="F"/>
    <x v="0"/>
    <x v="0"/>
    <x v="0"/>
    <x v="3"/>
    <x v="1"/>
    <x v="11"/>
    <x v="2"/>
  </r>
  <r>
    <x v="2075"/>
    <x v="12"/>
    <x v="1"/>
    <n v="85"/>
    <n v="170"/>
    <x v="76"/>
    <x v="73"/>
    <s v="M"/>
    <x v="2"/>
    <x v="2"/>
    <x v="0"/>
    <x v="3"/>
    <x v="7"/>
    <x v="11"/>
    <x v="1"/>
  </r>
  <r>
    <x v="2076"/>
    <x v="6"/>
    <x v="1"/>
    <n v="95"/>
    <n v="190"/>
    <x v="76"/>
    <x v="78"/>
    <s v="F"/>
    <x v="0"/>
    <x v="0"/>
    <x v="0"/>
    <x v="3"/>
    <x v="1"/>
    <x v="11"/>
    <x v="2"/>
  </r>
  <r>
    <x v="2077"/>
    <x v="16"/>
    <x v="1"/>
    <n v="32"/>
    <n v="64"/>
    <x v="76"/>
    <x v="78"/>
    <s v="M"/>
    <x v="0"/>
    <x v="1"/>
    <x v="0"/>
    <x v="3"/>
    <x v="1"/>
    <x v="11"/>
    <x v="1"/>
  </r>
  <r>
    <x v="2078"/>
    <x v="2"/>
    <x v="1"/>
    <n v="65.2"/>
    <n v="130.4"/>
    <x v="76"/>
    <x v="83"/>
    <s v="F"/>
    <x v="1"/>
    <x v="0"/>
    <x v="0"/>
    <x v="3"/>
    <x v="3"/>
    <x v="11"/>
    <x v="2"/>
  </r>
  <r>
    <x v="2079"/>
    <x v="17"/>
    <x v="12"/>
    <n v="22"/>
    <n v="88"/>
    <x v="76"/>
    <x v="83"/>
    <s v="M"/>
    <x v="1"/>
    <x v="2"/>
    <x v="0"/>
    <x v="3"/>
    <x v="3"/>
    <x v="11"/>
    <x v="1"/>
  </r>
  <r>
    <x v="2080"/>
    <x v="15"/>
    <x v="2"/>
    <n v="69.400000000000006"/>
    <n v="208.20000000000002"/>
    <x v="76"/>
    <x v="75"/>
    <s v="M"/>
    <x v="1"/>
    <x v="2"/>
    <x v="0"/>
    <x v="3"/>
    <x v="2"/>
    <x v="11"/>
    <x v="1"/>
  </r>
  <r>
    <x v="2081"/>
    <x v="10"/>
    <x v="13"/>
    <n v="31.5"/>
    <n v="189"/>
    <x v="76"/>
    <x v="78"/>
    <s v="F"/>
    <x v="0"/>
    <x v="2"/>
    <x v="0"/>
    <x v="3"/>
    <x v="1"/>
    <x v="11"/>
    <x v="2"/>
  </r>
  <r>
    <x v="2082"/>
    <x v="6"/>
    <x v="0"/>
    <n v="45.8"/>
    <n v="45.8"/>
    <x v="76"/>
    <x v="80"/>
    <s v="O"/>
    <x v="0"/>
    <x v="0"/>
    <x v="0"/>
    <x v="3"/>
    <x v="5"/>
    <x v="11"/>
    <x v="3"/>
  </r>
  <r>
    <x v="2083"/>
    <x v="19"/>
    <x v="12"/>
    <n v="12.8"/>
    <n v="51.2"/>
    <x v="76"/>
    <x v="82"/>
    <s v="F"/>
    <x v="1"/>
    <x v="1"/>
    <x v="0"/>
    <x v="5"/>
    <x v="6"/>
    <x v="11"/>
    <x v="2"/>
  </r>
  <r>
    <x v="2084"/>
    <x v="5"/>
    <x v="2"/>
    <n v="115.3"/>
    <n v="345.9"/>
    <x v="76"/>
    <x v="83"/>
    <s v="F"/>
    <x v="2"/>
    <x v="2"/>
    <x v="0"/>
    <x v="6"/>
    <x v="3"/>
    <x v="11"/>
    <x v="2"/>
  </r>
  <r>
    <x v="2085"/>
    <x v="5"/>
    <x v="1"/>
    <n v="85"/>
    <n v="170"/>
    <x v="76"/>
    <x v="78"/>
    <s v="F"/>
    <x v="1"/>
    <x v="0"/>
    <x v="0"/>
    <x v="7"/>
    <x v="1"/>
    <x v="11"/>
    <x v="2"/>
  </r>
  <r>
    <x v="2086"/>
    <x v="8"/>
    <x v="2"/>
    <n v="56.6"/>
    <n v="169.8"/>
    <x v="76"/>
    <x v="83"/>
    <s v="F"/>
    <x v="1"/>
    <x v="2"/>
    <x v="0"/>
    <x v="7"/>
    <x v="3"/>
    <x v="11"/>
    <x v="2"/>
  </r>
  <r>
    <x v="2087"/>
    <x v="15"/>
    <x v="6"/>
    <n v="46.3"/>
    <n v="1250.0999999999999"/>
    <x v="76"/>
    <x v="75"/>
    <s v="M"/>
    <x v="0"/>
    <x v="0"/>
    <x v="0"/>
    <x v="7"/>
    <x v="2"/>
    <x v="11"/>
    <x v="1"/>
  </r>
  <r>
    <x v="2088"/>
    <x v="14"/>
    <x v="12"/>
    <n v="23"/>
    <n v="92"/>
    <x v="76"/>
    <x v="80"/>
    <s v="M"/>
    <x v="3"/>
    <x v="2"/>
    <x v="0"/>
    <x v="7"/>
    <x v="5"/>
    <x v="11"/>
    <x v="1"/>
  </r>
  <r>
    <x v="2089"/>
    <x v="8"/>
    <x v="13"/>
    <n v="42.1"/>
    <n v="252.60000000000002"/>
    <x v="76"/>
    <x v="78"/>
    <s v="M"/>
    <x v="4"/>
    <x v="0"/>
    <x v="0"/>
    <x v="8"/>
    <x v="1"/>
    <x v="11"/>
    <x v="1"/>
  </r>
  <r>
    <x v="2090"/>
    <x v="5"/>
    <x v="3"/>
    <n v="57.4"/>
    <n v="401.8"/>
    <x v="76"/>
    <x v="80"/>
    <s v="F"/>
    <x v="1"/>
    <x v="4"/>
    <x v="0"/>
    <x v="8"/>
    <x v="5"/>
    <x v="11"/>
    <x v="2"/>
  </r>
  <r>
    <x v="2091"/>
    <x v="0"/>
    <x v="13"/>
    <n v="13.2"/>
    <n v="79.199999999999989"/>
    <x v="76"/>
    <x v="80"/>
    <s v="M"/>
    <x v="2"/>
    <x v="0"/>
    <x v="0"/>
    <x v="8"/>
    <x v="5"/>
    <x v="11"/>
    <x v="1"/>
  </r>
  <r>
    <x v="2092"/>
    <x v="6"/>
    <x v="2"/>
    <n v="52.3"/>
    <n v="156.89999999999998"/>
    <x v="76"/>
    <x v="83"/>
    <s v="M"/>
    <x v="1"/>
    <x v="0"/>
    <x v="0"/>
    <x v="8"/>
    <x v="3"/>
    <x v="11"/>
    <x v="1"/>
  </r>
  <r>
    <x v="2093"/>
    <x v="8"/>
    <x v="1"/>
    <n v="15.7"/>
    <n v="31.4"/>
    <x v="76"/>
    <x v="75"/>
    <s v="M"/>
    <x v="1"/>
    <x v="2"/>
    <x v="0"/>
    <x v="8"/>
    <x v="2"/>
    <x v="11"/>
    <x v="1"/>
  </r>
  <r>
    <x v="2094"/>
    <x v="7"/>
    <x v="2"/>
    <n v="35"/>
    <n v="105"/>
    <x v="76"/>
    <x v="75"/>
    <s v="F"/>
    <x v="1"/>
    <x v="2"/>
    <x v="0"/>
    <x v="9"/>
    <x v="2"/>
    <x v="11"/>
    <x v="2"/>
  </r>
  <r>
    <x v="2095"/>
    <x v="4"/>
    <x v="2"/>
    <n v="26.6"/>
    <n v="79.800000000000011"/>
    <x v="76"/>
    <x v="73"/>
    <s v="M"/>
    <x v="1"/>
    <x v="2"/>
    <x v="0"/>
    <x v="11"/>
    <x v="7"/>
    <x v="11"/>
    <x v="1"/>
  </r>
  <r>
    <x v="2096"/>
    <x v="4"/>
    <x v="8"/>
    <n v="47.9"/>
    <n v="383.2"/>
    <x v="77"/>
    <x v="78"/>
    <s v="F"/>
    <x v="3"/>
    <x v="2"/>
    <x v="0"/>
    <x v="20"/>
    <x v="3"/>
    <x v="11"/>
    <x v="2"/>
  </r>
  <r>
    <x v="2097"/>
    <x v="5"/>
    <x v="0"/>
    <n v="80.099999999999994"/>
    <n v="80.099999999999994"/>
    <x v="77"/>
    <x v="78"/>
    <s v="M"/>
    <x v="2"/>
    <x v="0"/>
    <x v="0"/>
    <x v="21"/>
    <x v="3"/>
    <x v="11"/>
    <x v="1"/>
  </r>
  <r>
    <x v="2098"/>
    <x v="6"/>
    <x v="9"/>
    <n v="50.4"/>
    <n v="252"/>
    <x v="77"/>
    <x v="78"/>
    <s v="M"/>
    <x v="1"/>
    <x v="2"/>
    <x v="0"/>
    <x v="21"/>
    <x v="3"/>
    <x v="11"/>
    <x v="1"/>
  </r>
  <r>
    <x v="2099"/>
    <x v="10"/>
    <x v="3"/>
    <n v="43.3"/>
    <n v="303.09999999999997"/>
    <x v="77"/>
    <x v="78"/>
    <s v="M"/>
    <x v="2"/>
    <x v="0"/>
    <x v="0"/>
    <x v="21"/>
    <x v="3"/>
    <x v="11"/>
    <x v="1"/>
  </r>
  <r>
    <x v="2100"/>
    <x v="10"/>
    <x v="12"/>
    <n v="57.5"/>
    <n v="230"/>
    <x v="77"/>
    <x v="78"/>
    <s v="F"/>
    <x v="1"/>
    <x v="2"/>
    <x v="0"/>
    <x v="1"/>
    <x v="3"/>
    <x v="11"/>
    <x v="2"/>
  </r>
  <r>
    <x v="2101"/>
    <x v="9"/>
    <x v="15"/>
    <n v="24.8"/>
    <n v="322.40000000000003"/>
    <x v="77"/>
    <x v="78"/>
    <s v="M"/>
    <x v="0"/>
    <x v="0"/>
    <x v="0"/>
    <x v="57"/>
    <x v="3"/>
    <x v="11"/>
    <x v="1"/>
  </r>
  <r>
    <x v="2102"/>
    <x v="2"/>
    <x v="11"/>
    <n v="85.7"/>
    <n v="771.30000000000007"/>
    <x v="77"/>
    <x v="78"/>
    <s v="F"/>
    <x v="0"/>
    <x v="0"/>
    <x v="0"/>
    <x v="42"/>
    <x v="3"/>
    <x v="11"/>
    <x v="2"/>
  </r>
  <r>
    <x v="2103"/>
    <x v="7"/>
    <x v="0"/>
    <n v="47.1"/>
    <n v="47.1"/>
    <x v="77"/>
    <x v="75"/>
    <s v="F"/>
    <x v="0"/>
    <x v="0"/>
    <x v="0"/>
    <x v="2"/>
    <x v="1"/>
    <x v="11"/>
    <x v="2"/>
  </r>
  <r>
    <x v="2104"/>
    <x v="5"/>
    <x v="7"/>
    <n v="83.2"/>
    <n v="832"/>
    <x v="77"/>
    <x v="79"/>
    <s v="F"/>
    <x v="0"/>
    <x v="0"/>
    <x v="0"/>
    <x v="33"/>
    <x v="5"/>
    <x v="11"/>
    <x v="2"/>
  </r>
  <r>
    <x v="2105"/>
    <x v="2"/>
    <x v="2"/>
    <n v="157"/>
    <n v="471"/>
    <x v="77"/>
    <x v="75"/>
    <s v="F"/>
    <x v="0"/>
    <x v="2"/>
    <x v="0"/>
    <x v="22"/>
    <x v="1"/>
    <x v="11"/>
    <x v="2"/>
  </r>
  <r>
    <x v="2106"/>
    <x v="16"/>
    <x v="12"/>
    <n v="33.700000000000003"/>
    <n v="134.80000000000001"/>
    <x v="77"/>
    <x v="78"/>
    <s v="M"/>
    <x v="2"/>
    <x v="2"/>
    <x v="0"/>
    <x v="22"/>
    <x v="3"/>
    <x v="11"/>
    <x v="1"/>
  </r>
  <r>
    <x v="2107"/>
    <x v="2"/>
    <x v="2"/>
    <n v="60.8"/>
    <n v="182.39999999999998"/>
    <x v="77"/>
    <x v="79"/>
    <s v="F"/>
    <x v="1"/>
    <x v="1"/>
    <x v="0"/>
    <x v="3"/>
    <x v="5"/>
    <x v="11"/>
    <x v="2"/>
  </r>
  <r>
    <x v="2108"/>
    <x v="7"/>
    <x v="0"/>
    <n v="57.6"/>
    <n v="57.6"/>
    <x v="77"/>
    <x v="78"/>
    <s v="M"/>
    <x v="1"/>
    <x v="4"/>
    <x v="0"/>
    <x v="3"/>
    <x v="3"/>
    <x v="11"/>
    <x v="1"/>
  </r>
  <r>
    <x v="2109"/>
    <x v="10"/>
    <x v="0"/>
    <n v="32"/>
    <n v="32"/>
    <x v="77"/>
    <x v="75"/>
    <s v="M"/>
    <x v="0"/>
    <x v="0"/>
    <x v="0"/>
    <x v="3"/>
    <x v="1"/>
    <x v="11"/>
    <x v="1"/>
  </r>
  <r>
    <x v="2110"/>
    <x v="10"/>
    <x v="12"/>
    <n v="23.5"/>
    <n v="94"/>
    <x v="77"/>
    <x v="78"/>
    <s v="F"/>
    <x v="0"/>
    <x v="2"/>
    <x v="0"/>
    <x v="3"/>
    <x v="3"/>
    <x v="11"/>
    <x v="2"/>
  </r>
  <r>
    <x v="2111"/>
    <x v="12"/>
    <x v="2"/>
    <n v="44.8"/>
    <n v="134.39999999999998"/>
    <x v="77"/>
    <x v="78"/>
    <s v="O"/>
    <x v="4"/>
    <x v="0"/>
    <x v="0"/>
    <x v="3"/>
    <x v="3"/>
    <x v="11"/>
    <x v="3"/>
  </r>
  <r>
    <x v="2112"/>
    <x v="0"/>
    <x v="8"/>
    <n v="11.7"/>
    <n v="93.6"/>
    <x v="77"/>
    <x v="78"/>
    <s v="M"/>
    <x v="2"/>
    <x v="2"/>
    <x v="0"/>
    <x v="3"/>
    <x v="3"/>
    <x v="11"/>
    <x v="1"/>
  </r>
  <r>
    <x v="2113"/>
    <x v="7"/>
    <x v="1"/>
    <n v="38.799999999999997"/>
    <n v="77.599999999999994"/>
    <x v="77"/>
    <x v="80"/>
    <s v="F"/>
    <x v="2"/>
    <x v="0"/>
    <x v="0"/>
    <x v="3"/>
    <x v="2"/>
    <x v="11"/>
    <x v="2"/>
  </r>
  <r>
    <x v="2114"/>
    <x v="5"/>
    <x v="21"/>
    <n v="86.9"/>
    <n v="1216.6000000000001"/>
    <x v="77"/>
    <x v="77"/>
    <s v="F"/>
    <x v="1"/>
    <x v="0"/>
    <x v="0"/>
    <x v="3"/>
    <x v="0"/>
    <x v="11"/>
    <x v="2"/>
  </r>
  <r>
    <x v="2115"/>
    <x v="8"/>
    <x v="0"/>
    <n v="18.3"/>
    <n v="18.3"/>
    <x v="77"/>
    <x v="78"/>
    <s v="F"/>
    <x v="0"/>
    <x v="0"/>
    <x v="0"/>
    <x v="3"/>
    <x v="3"/>
    <x v="11"/>
    <x v="2"/>
  </r>
  <r>
    <x v="2116"/>
    <x v="5"/>
    <x v="0"/>
    <n v="47.5"/>
    <n v="47.5"/>
    <x v="77"/>
    <x v="79"/>
    <s v="M"/>
    <x v="4"/>
    <x v="2"/>
    <x v="0"/>
    <x v="3"/>
    <x v="5"/>
    <x v="11"/>
    <x v="1"/>
  </r>
  <r>
    <x v="2117"/>
    <x v="1"/>
    <x v="1"/>
    <n v="78.599999999999994"/>
    <n v="157.19999999999999"/>
    <x v="77"/>
    <x v="78"/>
    <s v="M"/>
    <x v="2"/>
    <x v="2"/>
    <x v="0"/>
    <x v="3"/>
    <x v="3"/>
    <x v="11"/>
    <x v="1"/>
  </r>
  <r>
    <x v="2118"/>
    <x v="6"/>
    <x v="12"/>
    <n v="87.3"/>
    <n v="349.2"/>
    <x v="77"/>
    <x v="78"/>
    <s v="M"/>
    <x v="0"/>
    <x v="0"/>
    <x v="0"/>
    <x v="3"/>
    <x v="3"/>
    <x v="11"/>
    <x v="1"/>
  </r>
  <r>
    <x v="2119"/>
    <x v="9"/>
    <x v="1"/>
    <n v="63.2"/>
    <n v="126.4"/>
    <x v="77"/>
    <x v="83"/>
    <s v="M"/>
    <x v="4"/>
    <x v="1"/>
    <x v="0"/>
    <x v="3"/>
    <x v="7"/>
    <x v="11"/>
    <x v="1"/>
  </r>
  <r>
    <x v="2120"/>
    <x v="5"/>
    <x v="9"/>
    <n v="33.700000000000003"/>
    <n v="168.5"/>
    <x v="77"/>
    <x v="78"/>
    <s v="F"/>
    <x v="0"/>
    <x v="0"/>
    <x v="0"/>
    <x v="3"/>
    <x v="3"/>
    <x v="11"/>
    <x v="2"/>
  </r>
  <r>
    <x v="2121"/>
    <x v="2"/>
    <x v="2"/>
    <n v="107.4"/>
    <n v="322.20000000000005"/>
    <x v="77"/>
    <x v="84"/>
    <s v="F"/>
    <x v="1"/>
    <x v="2"/>
    <x v="0"/>
    <x v="3"/>
    <x v="10"/>
    <x v="11"/>
    <x v="2"/>
  </r>
  <r>
    <x v="2122"/>
    <x v="4"/>
    <x v="12"/>
    <n v="22.2"/>
    <n v="88.8"/>
    <x v="77"/>
    <x v="78"/>
    <s v=""/>
    <x v="1"/>
    <x v="2"/>
    <x v="0"/>
    <x v="24"/>
    <x v="3"/>
    <x v="11"/>
    <x v="0"/>
  </r>
  <r>
    <x v="2123"/>
    <x v="18"/>
    <x v="2"/>
    <n v="52.8"/>
    <n v="158.39999999999998"/>
    <x v="77"/>
    <x v="78"/>
    <s v="M"/>
    <x v="3"/>
    <x v="2"/>
    <x v="0"/>
    <x v="24"/>
    <x v="3"/>
    <x v="11"/>
    <x v="1"/>
  </r>
  <r>
    <x v="2124"/>
    <x v="8"/>
    <x v="2"/>
    <n v="41.5"/>
    <n v="124.5"/>
    <x v="77"/>
    <x v="80"/>
    <s v="F"/>
    <x v="0"/>
    <x v="0"/>
    <x v="0"/>
    <x v="25"/>
    <x v="2"/>
    <x v="11"/>
    <x v="2"/>
  </r>
  <r>
    <x v="2125"/>
    <x v="12"/>
    <x v="8"/>
    <n v="103.5"/>
    <n v="828"/>
    <x v="77"/>
    <x v="80"/>
    <s v="F"/>
    <x v="0"/>
    <x v="2"/>
    <x v="0"/>
    <x v="23"/>
    <x v="2"/>
    <x v="11"/>
    <x v="2"/>
  </r>
  <r>
    <x v="2126"/>
    <x v="4"/>
    <x v="21"/>
    <n v="37.5"/>
    <n v="525"/>
    <x v="77"/>
    <x v="83"/>
    <s v="F"/>
    <x v="1"/>
    <x v="2"/>
    <x v="0"/>
    <x v="6"/>
    <x v="7"/>
    <x v="11"/>
    <x v="2"/>
  </r>
  <r>
    <x v="2127"/>
    <x v="15"/>
    <x v="8"/>
    <n v="44.4"/>
    <n v="355.2"/>
    <x v="77"/>
    <x v="82"/>
    <s v="F"/>
    <x v="3"/>
    <x v="2"/>
    <x v="0"/>
    <x v="7"/>
    <x v="4"/>
    <x v="11"/>
    <x v="2"/>
  </r>
  <r>
    <x v="2128"/>
    <x v="8"/>
    <x v="2"/>
    <n v="26.2"/>
    <n v="78.599999999999994"/>
    <x v="77"/>
    <x v="78"/>
    <s v="M"/>
    <x v="0"/>
    <x v="0"/>
    <x v="0"/>
    <x v="8"/>
    <x v="3"/>
    <x v="11"/>
    <x v="1"/>
  </r>
  <r>
    <x v="2129"/>
    <x v="1"/>
    <x v="3"/>
    <n v="32.200000000000003"/>
    <n v="225.40000000000003"/>
    <x v="77"/>
    <x v="78"/>
    <s v="F"/>
    <x v="1"/>
    <x v="2"/>
    <x v="0"/>
    <x v="8"/>
    <x v="3"/>
    <x v="11"/>
    <x v="2"/>
  </r>
  <r>
    <x v="2130"/>
    <x v="8"/>
    <x v="0"/>
    <n v="17.399999999999999"/>
    <n v="17.399999999999999"/>
    <x v="77"/>
    <x v="79"/>
    <s v=""/>
    <x v="2"/>
    <x v="1"/>
    <x v="0"/>
    <x v="8"/>
    <x v="5"/>
    <x v="11"/>
    <x v="0"/>
  </r>
  <r>
    <x v="2131"/>
    <x v="8"/>
    <x v="13"/>
    <n v="72.3"/>
    <n v="433.79999999999995"/>
    <x v="77"/>
    <x v="80"/>
    <s v="F"/>
    <x v="0"/>
    <x v="0"/>
    <x v="0"/>
    <x v="8"/>
    <x v="2"/>
    <x v="11"/>
    <x v="2"/>
  </r>
  <r>
    <x v="2132"/>
    <x v="8"/>
    <x v="5"/>
    <n v="24.3"/>
    <n v="267.3"/>
    <x v="77"/>
    <x v="78"/>
    <s v="M"/>
    <x v="0"/>
    <x v="0"/>
    <x v="0"/>
    <x v="8"/>
    <x v="3"/>
    <x v="11"/>
    <x v="1"/>
  </r>
  <r>
    <x v="2133"/>
    <x v="13"/>
    <x v="2"/>
    <n v="49.1"/>
    <n v="147.30000000000001"/>
    <x v="77"/>
    <x v="82"/>
    <s v="M"/>
    <x v="2"/>
    <x v="4"/>
    <x v="0"/>
    <x v="8"/>
    <x v="4"/>
    <x v="11"/>
    <x v="1"/>
  </r>
  <r>
    <x v="2134"/>
    <x v="2"/>
    <x v="7"/>
    <n v="234.7"/>
    <n v="2347"/>
    <x v="77"/>
    <x v="78"/>
    <s v="M"/>
    <x v="3"/>
    <x v="1"/>
    <x v="0"/>
    <x v="8"/>
    <x v="3"/>
    <x v="11"/>
    <x v="1"/>
  </r>
  <r>
    <x v="2135"/>
    <x v="3"/>
    <x v="9"/>
    <n v="76.099999999999994"/>
    <n v="380.5"/>
    <x v="77"/>
    <x v="75"/>
    <s v="M"/>
    <x v="1"/>
    <x v="1"/>
    <x v="0"/>
    <x v="17"/>
    <x v="1"/>
    <x v="11"/>
    <x v="1"/>
  </r>
  <r>
    <x v="2136"/>
    <x v="1"/>
    <x v="2"/>
    <n v="93.9"/>
    <n v="281.70000000000005"/>
    <x v="77"/>
    <x v="78"/>
    <s v="M"/>
    <x v="1"/>
    <x v="4"/>
    <x v="0"/>
    <x v="11"/>
    <x v="3"/>
    <x v="11"/>
    <x v="1"/>
  </r>
  <r>
    <x v="2137"/>
    <x v="2"/>
    <x v="12"/>
    <n v="187"/>
    <n v="748"/>
    <x v="78"/>
    <x v="79"/>
    <s v="M"/>
    <x v="0"/>
    <x v="0"/>
    <x v="0"/>
    <x v="11"/>
    <x v="2"/>
    <x v="11"/>
    <x v="1"/>
  </r>
  <r>
    <x v="2138"/>
    <x v="8"/>
    <x v="1"/>
    <n v="18"/>
    <n v="36"/>
    <x v="78"/>
    <x v="75"/>
    <s v="F"/>
    <x v="1"/>
    <x v="2"/>
    <x v="0"/>
    <x v="53"/>
    <x v="3"/>
    <x v="11"/>
    <x v="2"/>
  </r>
  <r>
    <x v="2139"/>
    <x v="4"/>
    <x v="0"/>
    <n v="24.4"/>
    <n v="24.4"/>
    <x v="78"/>
    <x v="75"/>
    <s v="F"/>
    <x v="4"/>
    <x v="2"/>
    <x v="0"/>
    <x v="21"/>
    <x v="3"/>
    <x v="11"/>
    <x v="2"/>
  </r>
  <r>
    <x v="2140"/>
    <x v="10"/>
    <x v="1"/>
    <n v="38.799999999999997"/>
    <n v="77.599999999999994"/>
    <x v="78"/>
    <x v="75"/>
    <s v="M"/>
    <x v="4"/>
    <x v="1"/>
    <x v="0"/>
    <x v="3"/>
    <x v="3"/>
    <x v="11"/>
    <x v="1"/>
  </r>
  <r>
    <x v="2141"/>
    <x v="3"/>
    <x v="0"/>
    <n v="59.7"/>
    <n v="59.7"/>
    <x v="78"/>
    <x v="79"/>
    <s v="M"/>
    <x v="3"/>
    <x v="0"/>
    <x v="0"/>
    <x v="3"/>
    <x v="2"/>
    <x v="11"/>
    <x v="1"/>
  </r>
  <r>
    <x v="2142"/>
    <x v="7"/>
    <x v="0"/>
    <n v="31.2"/>
    <n v="31.2"/>
    <x v="78"/>
    <x v="75"/>
    <s v="M"/>
    <x v="1"/>
    <x v="2"/>
    <x v="0"/>
    <x v="3"/>
    <x v="3"/>
    <x v="11"/>
    <x v="1"/>
  </r>
  <r>
    <x v="2143"/>
    <x v="0"/>
    <x v="0"/>
    <n v="16.8"/>
    <n v="16.8"/>
    <x v="78"/>
    <x v="75"/>
    <s v="F"/>
    <x v="2"/>
    <x v="1"/>
    <x v="0"/>
    <x v="3"/>
    <x v="3"/>
    <x v="11"/>
    <x v="2"/>
  </r>
  <r>
    <x v="2144"/>
    <x v="8"/>
    <x v="0"/>
    <n v="46"/>
    <n v="46"/>
    <x v="78"/>
    <x v="75"/>
    <s v="M"/>
    <x v="0"/>
    <x v="0"/>
    <x v="0"/>
    <x v="3"/>
    <x v="3"/>
    <x v="11"/>
    <x v="1"/>
  </r>
  <r>
    <x v="2145"/>
    <x v="9"/>
    <x v="8"/>
    <n v="42.2"/>
    <n v="337.6"/>
    <x v="78"/>
    <x v="79"/>
    <s v="F"/>
    <x v="3"/>
    <x v="2"/>
    <x v="0"/>
    <x v="3"/>
    <x v="2"/>
    <x v="11"/>
    <x v="2"/>
  </r>
  <r>
    <x v="2146"/>
    <x v="1"/>
    <x v="2"/>
    <n v="71.5"/>
    <n v="214.5"/>
    <x v="78"/>
    <x v="85"/>
    <s v="F"/>
    <x v="0"/>
    <x v="0"/>
    <x v="0"/>
    <x v="3"/>
    <x v="12"/>
    <x v="11"/>
    <x v="2"/>
  </r>
  <r>
    <x v="2147"/>
    <x v="1"/>
    <x v="1"/>
    <n v="76.599999999999994"/>
    <n v="153.19999999999999"/>
    <x v="78"/>
    <x v="78"/>
    <s v="M"/>
    <x v="0"/>
    <x v="2"/>
    <x v="0"/>
    <x v="3"/>
    <x v="7"/>
    <x v="11"/>
    <x v="1"/>
  </r>
  <r>
    <x v="2148"/>
    <x v="12"/>
    <x v="1"/>
    <n v="87.3"/>
    <n v="174.6"/>
    <x v="78"/>
    <x v="86"/>
    <s v="F"/>
    <x v="3"/>
    <x v="2"/>
    <x v="0"/>
    <x v="3"/>
    <x v="9"/>
    <x v="11"/>
    <x v="2"/>
  </r>
  <r>
    <x v="2149"/>
    <x v="1"/>
    <x v="0"/>
    <n v="63"/>
    <n v="63"/>
    <x v="78"/>
    <x v="79"/>
    <s v="M"/>
    <x v="3"/>
    <x v="0"/>
    <x v="0"/>
    <x v="3"/>
    <x v="2"/>
    <x v="11"/>
    <x v="1"/>
  </r>
  <r>
    <x v="2150"/>
    <x v="8"/>
    <x v="1"/>
    <n v="41.7"/>
    <n v="83.4"/>
    <x v="78"/>
    <x v="75"/>
    <s v="F"/>
    <x v="4"/>
    <x v="1"/>
    <x v="0"/>
    <x v="43"/>
    <x v="3"/>
    <x v="11"/>
    <x v="2"/>
  </r>
  <r>
    <x v="2151"/>
    <x v="6"/>
    <x v="1"/>
    <n v="76.099999999999994"/>
    <n v="152.19999999999999"/>
    <x v="78"/>
    <x v="78"/>
    <s v="F"/>
    <x v="4"/>
    <x v="2"/>
    <x v="0"/>
    <x v="16"/>
    <x v="7"/>
    <x v="11"/>
    <x v="2"/>
  </r>
  <r>
    <x v="2152"/>
    <x v="13"/>
    <x v="1"/>
    <n v="28.5"/>
    <n v="57"/>
    <x v="78"/>
    <x v="75"/>
    <s v="F"/>
    <x v="0"/>
    <x v="2"/>
    <x v="0"/>
    <x v="4"/>
    <x v="3"/>
    <x v="11"/>
    <x v="2"/>
  </r>
  <r>
    <x v="2153"/>
    <x v="0"/>
    <x v="12"/>
    <n v="32.1"/>
    <n v="128.4"/>
    <x v="78"/>
    <x v="75"/>
    <s v="F"/>
    <x v="1"/>
    <x v="2"/>
    <x v="0"/>
    <x v="25"/>
    <x v="3"/>
    <x v="11"/>
    <x v="2"/>
  </r>
  <r>
    <x v="2154"/>
    <x v="4"/>
    <x v="2"/>
    <n v="39"/>
    <n v="117"/>
    <x v="78"/>
    <x v="79"/>
    <s v="M"/>
    <x v="1"/>
    <x v="2"/>
    <x v="0"/>
    <x v="25"/>
    <x v="2"/>
    <x v="11"/>
    <x v="1"/>
  </r>
  <r>
    <x v="2155"/>
    <x v="6"/>
    <x v="0"/>
    <n v="78.5"/>
    <n v="78.5"/>
    <x v="78"/>
    <x v="75"/>
    <s v="M"/>
    <x v="1"/>
    <x v="0"/>
    <x v="0"/>
    <x v="6"/>
    <x v="3"/>
    <x v="11"/>
    <x v="1"/>
  </r>
  <r>
    <x v="2156"/>
    <x v="4"/>
    <x v="9"/>
    <n v="49.7"/>
    <n v="248.5"/>
    <x v="78"/>
    <x v="80"/>
    <s v="F"/>
    <x v="0"/>
    <x v="0"/>
    <x v="0"/>
    <x v="6"/>
    <x v="1"/>
    <x v="11"/>
    <x v="2"/>
  </r>
  <r>
    <x v="2157"/>
    <x v="1"/>
    <x v="12"/>
    <n v="68.400000000000006"/>
    <n v="273.60000000000002"/>
    <x v="78"/>
    <x v="75"/>
    <s v="F"/>
    <x v="2"/>
    <x v="2"/>
    <x v="0"/>
    <x v="7"/>
    <x v="3"/>
    <x v="11"/>
    <x v="2"/>
  </r>
  <r>
    <x v="2158"/>
    <x v="3"/>
    <x v="1"/>
    <n v="72.900000000000006"/>
    <n v="145.80000000000001"/>
    <x v="78"/>
    <x v="79"/>
    <s v=""/>
    <x v="0"/>
    <x v="2"/>
    <x v="0"/>
    <x v="7"/>
    <x v="2"/>
    <x v="11"/>
    <x v="0"/>
  </r>
  <r>
    <x v="2159"/>
    <x v="5"/>
    <x v="15"/>
    <n v="30.3"/>
    <n v="393.90000000000003"/>
    <x v="78"/>
    <x v="75"/>
    <s v="M"/>
    <x v="4"/>
    <x v="0"/>
    <x v="0"/>
    <x v="7"/>
    <x v="3"/>
    <x v="11"/>
    <x v="1"/>
  </r>
  <r>
    <x v="2160"/>
    <x v="6"/>
    <x v="5"/>
    <n v="57.9"/>
    <n v="636.9"/>
    <x v="78"/>
    <x v="75"/>
    <s v="F"/>
    <x v="0"/>
    <x v="0"/>
    <x v="0"/>
    <x v="8"/>
    <x v="3"/>
    <x v="11"/>
    <x v="2"/>
  </r>
  <r>
    <x v="2161"/>
    <x v="1"/>
    <x v="0"/>
    <n v="96.7"/>
    <n v="96.7"/>
    <x v="78"/>
    <x v="75"/>
    <s v="M"/>
    <x v="0"/>
    <x v="0"/>
    <x v="0"/>
    <x v="8"/>
    <x v="3"/>
    <x v="11"/>
    <x v="1"/>
  </r>
  <r>
    <x v="2162"/>
    <x v="8"/>
    <x v="4"/>
    <n v="27.6"/>
    <n v="331.20000000000005"/>
    <x v="78"/>
    <x v="80"/>
    <s v="M"/>
    <x v="2"/>
    <x v="2"/>
    <x v="0"/>
    <x v="8"/>
    <x v="1"/>
    <x v="11"/>
    <x v="1"/>
  </r>
  <r>
    <x v="2163"/>
    <x v="6"/>
    <x v="12"/>
    <n v="64.7"/>
    <n v="258.8"/>
    <x v="78"/>
    <x v="78"/>
    <s v="M"/>
    <x v="3"/>
    <x v="2"/>
    <x v="0"/>
    <x v="8"/>
    <x v="7"/>
    <x v="11"/>
    <x v="1"/>
  </r>
  <r>
    <x v="2164"/>
    <x v="10"/>
    <x v="13"/>
    <n v="30.5"/>
    <n v="183"/>
    <x v="78"/>
    <x v="75"/>
    <s v="M"/>
    <x v="4"/>
    <x v="0"/>
    <x v="0"/>
    <x v="8"/>
    <x v="3"/>
    <x v="11"/>
    <x v="1"/>
  </r>
  <r>
    <x v="2165"/>
    <x v="6"/>
    <x v="47"/>
    <n v="106"/>
    <n v="7420"/>
    <x v="79"/>
    <x v="79"/>
    <s v="M"/>
    <x v="4"/>
    <x v="2"/>
    <x v="0"/>
    <x v="8"/>
    <x v="1"/>
    <x v="11"/>
    <x v="1"/>
  </r>
  <r>
    <x v="2166"/>
    <x v="12"/>
    <x v="9"/>
    <n v="76.8"/>
    <n v="384"/>
    <x v="79"/>
    <x v="87"/>
    <s v=""/>
    <x v="1"/>
    <x v="1"/>
    <x v="0"/>
    <x v="18"/>
    <x v="4"/>
    <x v="11"/>
    <x v="0"/>
  </r>
  <r>
    <x v="2167"/>
    <x v="6"/>
    <x v="1"/>
    <n v="80.400000000000006"/>
    <n v="160.80000000000001"/>
    <x v="79"/>
    <x v="80"/>
    <s v="F"/>
    <x v="2"/>
    <x v="0"/>
    <x v="0"/>
    <x v="13"/>
    <x v="3"/>
    <x v="11"/>
    <x v="2"/>
  </r>
  <r>
    <x v="2168"/>
    <x v="6"/>
    <x v="12"/>
    <n v="69.099999999999994"/>
    <n v="276.39999999999998"/>
    <x v="79"/>
    <x v="80"/>
    <s v="M"/>
    <x v="1"/>
    <x v="2"/>
    <x v="0"/>
    <x v="21"/>
    <x v="3"/>
    <x v="11"/>
    <x v="1"/>
  </r>
  <r>
    <x v="2169"/>
    <x v="18"/>
    <x v="1"/>
    <n v="76.400000000000006"/>
    <n v="152.80000000000001"/>
    <x v="79"/>
    <x v="75"/>
    <s v="M"/>
    <x v="3"/>
    <x v="0"/>
    <x v="0"/>
    <x v="21"/>
    <x v="7"/>
    <x v="11"/>
    <x v="1"/>
  </r>
  <r>
    <x v="2170"/>
    <x v="2"/>
    <x v="1"/>
    <n v="61.3"/>
    <n v="122.6"/>
    <x v="79"/>
    <x v="80"/>
    <s v="F"/>
    <x v="1"/>
    <x v="1"/>
    <x v="0"/>
    <x v="21"/>
    <x v="3"/>
    <x v="11"/>
    <x v="2"/>
  </r>
  <r>
    <x v="2171"/>
    <x v="7"/>
    <x v="0"/>
    <n v="58"/>
    <n v="58"/>
    <x v="79"/>
    <x v="80"/>
    <s v="M"/>
    <x v="3"/>
    <x v="1"/>
    <x v="0"/>
    <x v="1"/>
    <x v="3"/>
    <x v="11"/>
    <x v="1"/>
  </r>
  <r>
    <x v="2172"/>
    <x v="2"/>
    <x v="8"/>
    <n v="102.3"/>
    <n v="818.4"/>
    <x v="79"/>
    <x v="79"/>
    <s v="M"/>
    <x v="2"/>
    <x v="0"/>
    <x v="0"/>
    <x v="42"/>
    <x v="1"/>
    <x v="11"/>
    <x v="1"/>
  </r>
  <r>
    <x v="2173"/>
    <x v="19"/>
    <x v="1"/>
    <n v="13.8"/>
    <n v="27.6"/>
    <x v="79"/>
    <x v="80"/>
    <s v="F"/>
    <x v="4"/>
    <x v="2"/>
    <x v="0"/>
    <x v="2"/>
    <x v="3"/>
    <x v="11"/>
    <x v="2"/>
  </r>
  <r>
    <x v="2174"/>
    <x v="8"/>
    <x v="2"/>
    <n v="33.299999999999997"/>
    <n v="99.899999999999991"/>
    <x v="79"/>
    <x v="77"/>
    <s v="F"/>
    <x v="2"/>
    <x v="0"/>
    <x v="0"/>
    <x v="22"/>
    <x v="2"/>
    <x v="11"/>
    <x v="2"/>
  </r>
  <r>
    <x v="2175"/>
    <x v="10"/>
    <x v="0"/>
    <n v="27.4"/>
    <n v="27.4"/>
    <x v="79"/>
    <x v="77"/>
    <s v="M"/>
    <x v="0"/>
    <x v="2"/>
    <x v="0"/>
    <x v="22"/>
    <x v="2"/>
    <x v="11"/>
    <x v="1"/>
  </r>
  <r>
    <x v="2176"/>
    <x v="14"/>
    <x v="1"/>
    <n v="25.6"/>
    <n v="51.2"/>
    <x v="79"/>
    <x v="80"/>
    <s v="F"/>
    <x v="1"/>
    <x v="1"/>
    <x v="0"/>
    <x v="3"/>
    <x v="3"/>
    <x v="11"/>
    <x v="2"/>
  </r>
  <r>
    <x v="2177"/>
    <x v="13"/>
    <x v="0"/>
    <n v="58.4"/>
    <n v="58.4"/>
    <x v="79"/>
    <x v="80"/>
    <s v="F"/>
    <x v="2"/>
    <x v="2"/>
    <x v="0"/>
    <x v="3"/>
    <x v="3"/>
    <x v="11"/>
    <x v="2"/>
  </r>
  <r>
    <x v="2178"/>
    <x v="11"/>
    <x v="17"/>
    <n v="27"/>
    <n v="810"/>
    <x v="79"/>
    <x v="80"/>
    <s v="F"/>
    <x v="4"/>
    <x v="0"/>
    <x v="0"/>
    <x v="3"/>
    <x v="3"/>
    <x v="11"/>
    <x v="2"/>
  </r>
  <r>
    <x v="2179"/>
    <x v="0"/>
    <x v="12"/>
    <n v="14.2"/>
    <n v="56.8"/>
    <x v="79"/>
    <x v="80"/>
    <s v="M"/>
    <x v="0"/>
    <x v="2"/>
    <x v="0"/>
    <x v="3"/>
    <x v="3"/>
    <x v="11"/>
    <x v="1"/>
  </r>
  <r>
    <x v="2180"/>
    <x v="7"/>
    <x v="1"/>
    <n v="68"/>
    <n v="136"/>
    <x v="79"/>
    <x v="88"/>
    <s v="M"/>
    <x v="2"/>
    <x v="1"/>
    <x v="0"/>
    <x v="3"/>
    <x v="14"/>
    <x v="11"/>
    <x v="1"/>
  </r>
  <r>
    <x v="2181"/>
    <x v="8"/>
    <x v="0"/>
    <n v="30.7"/>
    <n v="30.7"/>
    <x v="79"/>
    <x v="80"/>
    <s v="M"/>
    <x v="0"/>
    <x v="0"/>
    <x v="0"/>
    <x v="3"/>
    <x v="3"/>
    <x v="11"/>
    <x v="1"/>
  </r>
  <r>
    <x v="2182"/>
    <x v="17"/>
    <x v="15"/>
    <n v="51.6"/>
    <n v="670.80000000000007"/>
    <x v="79"/>
    <x v="77"/>
    <s v="O"/>
    <x v="1"/>
    <x v="2"/>
    <x v="0"/>
    <x v="3"/>
    <x v="2"/>
    <x v="11"/>
    <x v="3"/>
  </r>
  <r>
    <x v="2183"/>
    <x v="8"/>
    <x v="2"/>
    <n v="20.6"/>
    <n v="61.800000000000004"/>
    <x v="79"/>
    <x v="82"/>
    <s v="F"/>
    <x v="4"/>
    <x v="2"/>
    <x v="0"/>
    <x v="3"/>
    <x v="5"/>
    <x v="11"/>
    <x v="2"/>
  </r>
  <r>
    <x v="2184"/>
    <x v="8"/>
    <x v="0"/>
    <n v="24.8"/>
    <n v="24.8"/>
    <x v="79"/>
    <x v="80"/>
    <s v="M"/>
    <x v="4"/>
    <x v="0"/>
    <x v="0"/>
    <x v="3"/>
    <x v="3"/>
    <x v="11"/>
    <x v="1"/>
  </r>
  <r>
    <x v="2185"/>
    <x v="0"/>
    <x v="3"/>
    <n v="11.2"/>
    <n v="78.399999999999991"/>
    <x v="79"/>
    <x v="77"/>
    <s v="M"/>
    <x v="1"/>
    <x v="0"/>
    <x v="0"/>
    <x v="3"/>
    <x v="2"/>
    <x v="11"/>
    <x v="1"/>
  </r>
  <r>
    <x v="2186"/>
    <x v="11"/>
    <x v="1"/>
    <n v="51.2"/>
    <n v="102.4"/>
    <x v="79"/>
    <x v="80"/>
    <s v="F"/>
    <x v="1"/>
    <x v="2"/>
    <x v="0"/>
    <x v="3"/>
    <x v="3"/>
    <x v="11"/>
    <x v="2"/>
  </r>
  <r>
    <x v="2187"/>
    <x v="7"/>
    <x v="13"/>
    <n v="90.5"/>
    <n v="543"/>
    <x v="79"/>
    <x v="80"/>
    <s v="F"/>
    <x v="1"/>
    <x v="4"/>
    <x v="0"/>
    <x v="3"/>
    <x v="3"/>
    <x v="11"/>
    <x v="2"/>
  </r>
  <r>
    <x v="2188"/>
    <x v="1"/>
    <x v="1"/>
    <n v="42.4"/>
    <n v="84.8"/>
    <x v="79"/>
    <x v="80"/>
    <s v="M"/>
    <x v="1"/>
    <x v="2"/>
    <x v="0"/>
    <x v="4"/>
    <x v="3"/>
    <x v="11"/>
    <x v="1"/>
  </r>
  <r>
    <x v="2189"/>
    <x v="1"/>
    <x v="1"/>
    <n v="38.200000000000003"/>
    <n v="76.400000000000006"/>
    <x v="79"/>
    <x v="80"/>
    <s v="M"/>
    <x v="0"/>
    <x v="0"/>
    <x v="0"/>
    <x v="5"/>
    <x v="3"/>
    <x v="11"/>
    <x v="1"/>
  </r>
  <r>
    <x v="2190"/>
    <x v="2"/>
    <x v="11"/>
    <n v="121.3"/>
    <n v="1091.7"/>
    <x v="79"/>
    <x v="81"/>
    <s v="M"/>
    <x v="0"/>
    <x v="0"/>
    <x v="0"/>
    <x v="6"/>
    <x v="0"/>
    <x v="11"/>
    <x v="1"/>
  </r>
  <r>
    <x v="2191"/>
    <x v="6"/>
    <x v="1"/>
    <n v="46.9"/>
    <n v="93.8"/>
    <x v="79"/>
    <x v="86"/>
    <s v="M"/>
    <x v="0"/>
    <x v="0"/>
    <x v="0"/>
    <x v="8"/>
    <x v="6"/>
    <x v="11"/>
    <x v="1"/>
  </r>
  <r>
    <x v="2192"/>
    <x v="10"/>
    <x v="0"/>
    <n v="55.3"/>
    <n v="55.3"/>
    <x v="79"/>
    <x v="79"/>
    <s v="M"/>
    <x v="0"/>
    <x v="0"/>
    <x v="0"/>
    <x v="8"/>
    <x v="1"/>
    <x v="11"/>
    <x v="1"/>
  </r>
  <r>
    <x v="2193"/>
    <x v="2"/>
    <x v="2"/>
    <n v="70.599999999999994"/>
    <n v="211.79999999999998"/>
    <x v="80"/>
    <x v="80"/>
    <s v="F"/>
    <x v="0"/>
    <x v="1"/>
    <x v="0"/>
    <x v="8"/>
    <x v="7"/>
    <x v="11"/>
    <x v="2"/>
  </r>
  <r>
    <x v="2194"/>
    <x v="14"/>
    <x v="12"/>
    <n v="26.1"/>
    <n v="104.4"/>
    <x v="80"/>
    <x v="77"/>
    <s v="M"/>
    <x v="0"/>
    <x v="0"/>
    <x v="0"/>
    <x v="8"/>
    <x v="1"/>
    <x v="11"/>
    <x v="1"/>
  </r>
  <r>
    <x v="2195"/>
    <x v="9"/>
    <x v="5"/>
    <n v="34.5"/>
    <n v="379.5"/>
    <x v="80"/>
    <x v="81"/>
    <s v="M"/>
    <x v="2"/>
    <x v="0"/>
    <x v="0"/>
    <x v="17"/>
    <x v="5"/>
    <x v="11"/>
    <x v="1"/>
  </r>
  <r>
    <x v="2196"/>
    <x v="1"/>
    <x v="1"/>
    <n v="64.2"/>
    <n v="128.4"/>
    <x v="80"/>
    <x v="79"/>
    <s v="F"/>
    <x v="0"/>
    <x v="1"/>
    <x v="0"/>
    <x v="17"/>
    <x v="3"/>
    <x v="11"/>
    <x v="2"/>
  </r>
  <r>
    <x v="2197"/>
    <x v="2"/>
    <x v="12"/>
    <n v="145.69999999999999"/>
    <n v="582.79999999999995"/>
    <x v="80"/>
    <x v="79"/>
    <s v="F"/>
    <x v="0"/>
    <x v="4"/>
    <x v="0"/>
    <x v="17"/>
    <x v="3"/>
    <x v="11"/>
    <x v="2"/>
  </r>
  <r>
    <x v="2198"/>
    <x v="12"/>
    <x v="1"/>
    <n v="78.5"/>
    <n v="157"/>
    <x v="80"/>
    <x v="79"/>
    <s v="M"/>
    <x v="2"/>
    <x v="0"/>
    <x v="0"/>
    <x v="26"/>
    <x v="3"/>
    <x v="11"/>
    <x v="1"/>
  </r>
  <r>
    <x v="2199"/>
    <x v="1"/>
    <x v="0"/>
    <n v="34.200000000000003"/>
    <n v="34.200000000000003"/>
    <x v="80"/>
    <x v="77"/>
    <s v="M"/>
    <x v="0"/>
    <x v="0"/>
    <x v="0"/>
    <x v="9"/>
    <x v="1"/>
    <x v="11"/>
    <x v="1"/>
  </r>
  <r>
    <x v="2200"/>
    <x v="19"/>
    <x v="0"/>
    <n v="26.2"/>
    <n v="26.2"/>
    <x v="80"/>
    <x v="79"/>
    <s v="M"/>
    <x v="2"/>
    <x v="0"/>
    <x v="0"/>
    <x v="9"/>
    <x v="3"/>
    <x v="11"/>
    <x v="1"/>
  </r>
  <r>
    <x v="2201"/>
    <x v="6"/>
    <x v="12"/>
    <n v="53.2"/>
    <n v="212.8"/>
    <x v="80"/>
    <x v="79"/>
    <s v="M"/>
    <x v="1"/>
    <x v="1"/>
    <x v="0"/>
    <x v="11"/>
    <x v="3"/>
    <x v="11"/>
    <x v="1"/>
  </r>
  <r>
    <x v="2202"/>
    <x v="1"/>
    <x v="0"/>
    <n v="35.4"/>
    <n v="35.4"/>
    <x v="80"/>
    <x v="81"/>
    <s v="M"/>
    <x v="1"/>
    <x v="4"/>
    <x v="0"/>
    <x v="18"/>
    <x v="5"/>
    <x v="11"/>
    <x v="1"/>
  </r>
  <r>
    <x v="2203"/>
    <x v="14"/>
    <x v="1"/>
    <n v="21.3"/>
    <n v="42.6"/>
    <x v="80"/>
    <x v="79"/>
    <s v="M"/>
    <x v="2"/>
    <x v="0"/>
    <x v="0"/>
    <x v="20"/>
    <x v="3"/>
    <x v="11"/>
    <x v="1"/>
  </r>
  <r>
    <x v="2204"/>
    <x v="8"/>
    <x v="12"/>
    <n v="32.9"/>
    <n v="131.6"/>
    <x v="80"/>
    <x v="82"/>
    <s v="F"/>
    <x v="4"/>
    <x v="2"/>
    <x v="0"/>
    <x v="21"/>
    <x v="2"/>
    <x v="11"/>
    <x v="2"/>
  </r>
  <r>
    <x v="2205"/>
    <x v="5"/>
    <x v="20"/>
    <n v="85.5"/>
    <n v="1282.5"/>
    <x v="80"/>
    <x v="77"/>
    <s v="F"/>
    <x v="3"/>
    <x v="1"/>
    <x v="0"/>
    <x v="21"/>
    <x v="1"/>
    <x v="11"/>
    <x v="2"/>
  </r>
  <r>
    <x v="2206"/>
    <x v="4"/>
    <x v="0"/>
    <n v="26.8"/>
    <n v="26.8"/>
    <x v="80"/>
    <x v="79"/>
    <s v="F"/>
    <x v="0"/>
    <x v="1"/>
    <x v="0"/>
    <x v="2"/>
    <x v="3"/>
    <x v="11"/>
    <x v="2"/>
  </r>
  <r>
    <x v="2207"/>
    <x v="9"/>
    <x v="18"/>
    <n v="31.7"/>
    <n v="824.19999999999993"/>
    <x v="80"/>
    <x v="80"/>
    <s v="F"/>
    <x v="3"/>
    <x v="0"/>
    <x v="0"/>
    <x v="2"/>
    <x v="7"/>
    <x v="11"/>
    <x v="2"/>
  </r>
  <r>
    <x v="2208"/>
    <x v="1"/>
    <x v="1"/>
    <n v="78.3"/>
    <n v="156.6"/>
    <x v="80"/>
    <x v="77"/>
    <s v="F"/>
    <x v="1"/>
    <x v="1"/>
    <x v="0"/>
    <x v="3"/>
    <x v="1"/>
    <x v="11"/>
    <x v="2"/>
  </r>
  <r>
    <x v="2209"/>
    <x v="6"/>
    <x v="0"/>
    <n v="43.9"/>
    <n v="43.9"/>
    <x v="80"/>
    <x v="79"/>
    <s v="M"/>
    <x v="0"/>
    <x v="0"/>
    <x v="0"/>
    <x v="3"/>
    <x v="3"/>
    <x v="11"/>
    <x v="1"/>
  </r>
  <r>
    <x v="2210"/>
    <x v="18"/>
    <x v="2"/>
    <n v="84"/>
    <n v="252"/>
    <x v="80"/>
    <x v="77"/>
    <s v=""/>
    <x v="3"/>
    <x v="2"/>
    <x v="0"/>
    <x v="3"/>
    <x v="1"/>
    <x v="11"/>
    <x v="0"/>
  </r>
  <r>
    <x v="2211"/>
    <x v="0"/>
    <x v="2"/>
    <n v="11.4"/>
    <n v="34.200000000000003"/>
    <x v="80"/>
    <x v="79"/>
    <s v="M"/>
    <x v="4"/>
    <x v="0"/>
    <x v="0"/>
    <x v="3"/>
    <x v="3"/>
    <x v="11"/>
    <x v="1"/>
  </r>
  <r>
    <x v="2212"/>
    <x v="12"/>
    <x v="8"/>
    <n v="47.5"/>
    <n v="380"/>
    <x v="80"/>
    <x v="89"/>
    <s v="F"/>
    <x v="0"/>
    <x v="0"/>
    <x v="0"/>
    <x v="3"/>
    <x v="9"/>
    <x v="11"/>
    <x v="2"/>
  </r>
  <r>
    <x v="2213"/>
    <x v="9"/>
    <x v="5"/>
    <n v="50.5"/>
    <n v="555.5"/>
    <x v="80"/>
    <x v="77"/>
    <s v="M"/>
    <x v="2"/>
    <x v="0"/>
    <x v="0"/>
    <x v="3"/>
    <x v="1"/>
    <x v="11"/>
    <x v="1"/>
  </r>
  <r>
    <x v="2214"/>
    <x v="15"/>
    <x v="0"/>
    <n v="36.299999999999997"/>
    <n v="36.299999999999997"/>
    <x v="80"/>
    <x v="82"/>
    <s v="O"/>
    <x v="0"/>
    <x v="1"/>
    <x v="0"/>
    <x v="8"/>
    <x v="2"/>
    <x v="11"/>
    <x v="3"/>
  </r>
  <r>
    <x v="2215"/>
    <x v="8"/>
    <x v="1"/>
    <n v="35.4"/>
    <n v="70.8"/>
    <x v="80"/>
    <x v="79"/>
    <s v="F"/>
    <x v="0"/>
    <x v="0"/>
    <x v="0"/>
    <x v="17"/>
    <x v="3"/>
    <x v="11"/>
    <x v="2"/>
  </r>
  <r>
    <x v="2216"/>
    <x v="1"/>
    <x v="2"/>
    <n v="45.9"/>
    <n v="137.69999999999999"/>
    <x v="81"/>
    <x v="77"/>
    <s v="M"/>
    <x v="3"/>
    <x v="0"/>
    <x v="0"/>
    <x v="9"/>
    <x v="3"/>
    <x v="12"/>
    <x v="1"/>
  </r>
  <r>
    <x v="2217"/>
    <x v="6"/>
    <x v="7"/>
    <n v="41.2"/>
    <n v="412"/>
    <x v="81"/>
    <x v="87"/>
    <s v="M"/>
    <x v="0"/>
    <x v="0"/>
    <x v="0"/>
    <x v="11"/>
    <x v="5"/>
    <x v="12"/>
    <x v="1"/>
  </r>
  <r>
    <x v="2218"/>
    <x v="17"/>
    <x v="1"/>
    <n v="45.1"/>
    <n v="90.2"/>
    <x v="81"/>
    <x v="77"/>
    <s v="M"/>
    <x v="1"/>
    <x v="1"/>
    <x v="0"/>
    <x v="21"/>
    <x v="3"/>
    <x v="12"/>
    <x v="1"/>
  </r>
  <r>
    <x v="2219"/>
    <x v="6"/>
    <x v="7"/>
    <n v="63.6"/>
    <n v="636"/>
    <x v="81"/>
    <x v="79"/>
    <s v="M"/>
    <x v="2"/>
    <x v="0"/>
    <x v="0"/>
    <x v="1"/>
    <x v="7"/>
    <x v="12"/>
    <x v="1"/>
  </r>
  <r>
    <x v="2220"/>
    <x v="8"/>
    <x v="0"/>
    <n v="70.5"/>
    <n v="70.5"/>
    <x v="81"/>
    <x v="77"/>
    <s v="M"/>
    <x v="0"/>
    <x v="0"/>
    <x v="0"/>
    <x v="3"/>
    <x v="3"/>
    <x v="12"/>
    <x v="1"/>
  </r>
  <r>
    <x v="2221"/>
    <x v="6"/>
    <x v="0"/>
    <n v="41.3"/>
    <n v="41.3"/>
    <x v="81"/>
    <x v="79"/>
    <s v="M"/>
    <x v="4"/>
    <x v="0"/>
    <x v="0"/>
    <x v="3"/>
    <x v="7"/>
    <x v="12"/>
    <x v="1"/>
  </r>
  <r>
    <x v="2222"/>
    <x v="4"/>
    <x v="0"/>
    <n v="35.299999999999997"/>
    <n v="35.299999999999997"/>
    <x v="81"/>
    <x v="81"/>
    <s v="F"/>
    <x v="4"/>
    <x v="2"/>
    <x v="0"/>
    <x v="3"/>
    <x v="2"/>
    <x v="12"/>
    <x v="2"/>
  </r>
  <r>
    <x v="2223"/>
    <x v="8"/>
    <x v="9"/>
    <n v="34.700000000000003"/>
    <n v="173.5"/>
    <x v="81"/>
    <x v="77"/>
    <s v="F"/>
    <x v="0"/>
    <x v="2"/>
    <x v="0"/>
    <x v="3"/>
    <x v="3"/>
    <x v="12"/>
    <x v="2"/>
  </r>
  <r>
    <x v="2224"/>
    <x v="8"/>
    <x v="2"/>
    <n v="26.1"/>
    <n v="78.300000000000011"/>
    <x v="81"/>
    <x v="77"/>
    <s v="F"/>
    <x v="0"/>
    <x v="0"/>
    <x v="0"/>
    <x v="3"/>
    <x v="3"/>
    <x v="12"/>
    <x v="2"/>
  </r>
  <r>
    <x v="2225"/>
    <x v="9"/>
    <x v="9"/>
    <n v="22.6"/>
    <n v="113"/>
    <x v="81"/>
    <x v="79"/>
    <s v="F"/>
    <x v="1"/>
    <x v="2"/>
    <x v="0"/>
    <x v="3"/>
    <x v="7"/>
    <x v="12"/>
    <x v="2"/>
  </r>
  <r>
    <x v="2226"/>
    <x v="2"/>
    <x v="1"/>
    <n v="154.4"/>
    <n v="308.8"/>
    <x v="81"/>
    <x v="81"/>
    <s v="M"/>
    <x v="1"/>
    <x v="1"/>
    <x v="0"/>
    <x v="3"/>
    <x v="2"/>
    <x v="12"/>
    <x v="1"/>
  </r>
  <r>
    <x v="2227"/>
    <x v="8"/>
    <x v="1"/>
    <n v="18.399999999999999"/>
    <n v="36.799999999999997"/>
    <x v="81"/>
    <x v="77"/>
    <s v="M"/>
    <x v="0"/>
    <x v="0"/>
    <x v="0"/>
    <x v="3"/>
    <x v="3"/>
    <x v="12"/>
    <x v="1"/>
  </r>
  <r>
    <x v="2228"/>
    <x v="14"/>
    <x v="0"/>
    <n v="25"/>
    <n v="25"/>
    <x v="81"/>
    <x v="81"/>
    <s v="F"/>
    <x v="0"/>
    <x v="0"/>
    <x v="0"/>
    <x v="3"/>
    <x v="2"/>
    <x v="12"/>
    <x v="2"/>
  </r>
  <r>
    <x v="2229"/>
    <x v="2"/>
    <x v="13"/>
    <n v="105.6"/>
    <n v="633.59999999999991"/>
    <x v="81"/>
    <x v="79"/>
    <s v="F"/>
    <x v="0"/>
    <x v="0"/>
    <x v="0"/>
    <x v="3"/>
    <x v="7"/>
    <x v="12"/>
    <x v="2"/>
  </r>
  <r>
    <x v="2230"/>
    <x v="18"/>
    <x v="8"/>
    <n v="59.6"/>
    <n v="476.8"/>
    <x v="81"/>
    <x v="79"/>
    <s v="F"/>
    <x v="0"/>
    <x v="2"/>
    <x v="0"/>
    <x v="23"/>
    <x v="7"/>
    <x v="12"/>
    <x v="2"/>
  </r>
  <r>
    <x v="2231"/>
    <x v="15"/>
    <x v="2"/>
    <n v="75.400000000000006"/>
    <n v="226.20000000000002"/>
    <x v="81"/>
    <x v="86"/>
    <s v="M"/>
    <x v="0"/>
    <x v="1"/>
    <x v="0"/>
    <x v="7"/>
    <x v="0"/>
    <x v="12"/>
    <x v="1"/>
  </r>
  <r>
    <x v="2232"/>
    <x v="7"/>
    <x v="0"/>
    <n v="104.4"/>
    <n v="104.4"/>
    <x v="81"/>
    <x v="77"/>
    <s v="F"/>
    <x v="0"/>
    <x v="0"/>
    <x v="0"/>
    <x v="8"/>
    <x v="3"/>
    <x v="12"/>
    <x v="2"/>
  </r>
  <r>
    <x v="2233"/>
    <x v="2"/>
    <x v="7"/>
    <n v="208.2"/>
    <n v="2082"/>
    <x v="81"/>
    <x v="77"/>
    <s v="M"/>
    <x v="0"/>
    <x v="2"/>
    <x v="0"/>
    <x v="8"/>
    <x v="3"/>
    <x v="12"/>
    <x v="1"/>
  </r>
  <r>
    <x v="2234"/>
    <x v="6"/>
    <x v="1"/>
    <n v="45"/>
    <n v="90"/>
    <x v="81"/>
    <x v="81"/>
    <s v="F"/>
    <x v="0"/>
    <x v="0"/>
    <x v="0"/>
    <x v="10"/>
    <x v="2"/>
    <x v="12"/>
    <x v="2"/>
  </r>
  <r>
    <x v="2235"/>
    <x v="15"/>
    <x v="1"/>
    <n v="20.3"/>
    <n v="40.6"/>
    <x v="82"/>
    <x v="81"/>
    <s v=""/>
    <x v="1"/>
    <x v="0"/>
    <x v="0"/>
    <x v="11"/>
    <x v="1"/>
    <x v="12"/>
    <x v="0"/>
  </r>
  <r>
    <x v="2236"/>
    <x v="2"/>
    <x v="2"/>
    <n v="94.4"/>
    <n v="283.20000000000005"/>
    <x v="82"/>
    <x v="82"/>
    <s v="F"/>
    <x v="0"/>
    <x v="2"/>
    <x v="0"/>
    <x v="11"/>
    <x v="3"/>
    <x v="12"/>
    <x v="2"/>
  </r>
  <r>
    <x v="2237"/>
    <x v="9"/>
    <x v="0"/>
    <n v="49"/>
    <n v="49"/>
    <x v="82"/>
    <x v="81"/>
    <s v="F"/>
    <x v="0"/>
    <x v="2"/>
    <x v="0"/>
    <x v="20"/>
    <x v="1"/>
    <x v="12"/>
    <x v="2"/>
  </r>
  <r>
    <x v="2238"/>
    <x v="4"/>
    <x v="1"/>
    <n v="27.2"/>
    <n v="54.4"/>
    <x v="82"/>
    <x v="81"/>
    <s v="M"/>
    <x v="0"/>
    <x v="2"/>
    <x v="0"/>
    <x v="1"/>
    <x v="1"/>
    <x v="12"/>
    <x v="1"/>
  </r>
  <r>
    <x v="2239"/>
    <x v="2"/>
    <x v="13"/>
    <n v="72.599999999999994"/>
    <n v="435.59999999999997"/>
    <x v="82"/>
    <x v="82"/>
    <s v="F"/>
    <x v="0"/>
    <x v="2"/>
    <x v="0"/>
    <x v="2"/>
    <x v="3"/>
    <x v="12"/>
    <x v="2"/>
  </r>
  <r>
    <x v="2240"/>
    <x v="15"/>
    <x v="12"/>
    <n v="62.4"/>
    <n v="249.6"/>
    <x v="82"/>
    <x v="82"/>
    <s v="F"/>
    <x v="0"/>
    <x v="0"/>
    <x v="0"/>
    <x v="3"/>
    <x v="3"/>
    <x v="12"/>
    <x v="2"/>
  </r>
  <r>
    <x v="2241"/>
    <x v="8"/>
    <x v="2"/>
    <n v="19.100000000000001"/>
    <n v="57.300000000000004"/>
    <x v="82"/>
    <x v="81"/>
    <s v="M"/>
    <x v="0"/>
    <x v="1"/>
    <x v="0"/>
    <x v="3"/>
    <x v="1"/>
    <x v="12"/>
    <x v="1"/>
  </r>
  <r>
    <x v="2242"/>
    <x v="10"/>
    <x v="0"/>
    <n v="29.6"/>
    <n v="29.6"/>
    <x v="82"/>
    <x v="86"/>
    <s v="M"/>
    <x v="0"/>
    <x v="4"/>
    <x v="0"/>
    <x v="3"/>
    <x v="5"/>
    <x v="12"/>
    <x v="1"/>
  </r>
  <r>
    <x v="2243"/>
    <x v="8"/>
    <x v="1"/>
    <n v="18.899999999999999"/>
    <n v="37.799999999999997"/>
    <x v="82"/>
    <x v="81"/>
    <s v="F"/>
    <x v="4"/>
    <x v="2"/>
    <x v="0"/>
    <x v="3"/>
    <x v="1"/>
    <x v="12"/>
    <x v="2"/>
  </r>
  <r>
    <x v="2244"/>
    <x v="10"/>
    <x v="9"/>
    <n v="41.4"/>
    <n v="207"/>
    <x v="82"/>
    <x v="82"/>
    <s v="M"/>
    <x v="3"/>
    <x v="0"/>
    <x v="0"/>
    <x v="3"/>
    <x v="3"/>
    <x v="12"/>
    <x v="1"/>
  </r>
  <r>
    <x v="2245"/>
    <x v="2"/>
    <x v="0"/>
    <n v="118.4"/>
    <n v="118.4"/>
    <x v="82"/>
    <x v="82"/>
    <s v="F"/>
    <x v="0"/>
    <x v="2"/>
    <x v="0"/>
    <x v="3"/>
    <x v="3"/>
    <x v="12"/>
    <x v="2"/>
  </r>
  <r>
    <x v="2246"/>
    <x v="2"/>
    <x v="1"/>
    <n v="125.3"/>
    <n v="250.6"/>
    <x v="82"/>
    <x v="87"/>
    <s v="F"/>
    <x v="0"/>
    <x v="2"/>
    <x v="0"/>
    <x v="3"/>
    <x v="2"/>
    <x v="12"/>
    <x v="2"/>
  </r>
  <r>
    <x v="2247"/>
    <x v="3"/>
    <x v="1"/>
    <n v="85.8"/>
    <n v="171.6"/>
    <x v="82"/>
    <x v="82"/>
    <s v="F"/>
    <x v="1"/>
    <x v="4"/>
    <x v="0"/>
    <x v="3"/>
    <x v="3"/>
    <x v="12"/>
    <x v="2"/>
  </r>
  <r>
    <x v="2248"/>
    <x v="6"/>
    <x v="0"/>
    <n v="44.2"/>
    <n v="44.2"/>
    <x v="82"/>
    <x v="87"/>
    <s v="M"/>
    <x v="1"/>
    <x v="0"/>
    <x v="0"/>
    <x v="3"/>
    <x v="2"/>
    <x v="12"/>
    <x v="1"/>
  </r>
  <r>
    <x v="2249"/>
    <x v="5"/>
    <x v="12"/>
    <n v="74.099999999999994"/>
    <n v="296.39999999999998"/>
    <x v="82"/>
    <x v="81"/>
    <s v="F"/>
    <x v="0"/>
    <x v="0"/>
    <x v="0"/>
    <x v="3"/>
    <x v="1"/>
    <x v="12"/>
    <x v="2"/>
  </r>
  <r>
    <x v="2250"/>
    <x v="8"/>
    <x v="0"/>
    <n v="33.799999999999997"/>
    <n v="33.799999999999997"/>
    <x v="82"/>
    <x v="82"/>
    <s v="F"/>
    <x v="2"/>
    <x v="2"/>
    <x v="0"/>
    <x v="24"/>
    <x v="3"/>
    <x v="12"/>
    <x v="2"/>
  </r>
  <r>
    <x v="2251"/>
    <x v="1"/>
    <x v="1"/>
    <n v="39.1"/>
    <n v="78.2"/>
    <x v="82"/>
    <x v="82"/>
    <s v="M"/>
    <x v="0"/>
    <x v="1"/>
    <x v="0"/>
    <x v="24"/>
    <x v="3"/>
    <x v="12"/>
    <x v="1"/>
  </r>
  <r>
    <x v="2252"/>
    <x v="0"/>
    <x v="0"/>
    <n v="37.200000000000003"/>
    <n v="37.200000000000003"/>
    <x v="82"/>
    <x v="82"/>
    <s v="M"/>
    <x v="0"/>
    <x v="1"/>
    <x v="0"/>
    <x v="16"/>
    <x v="3"/>
    <x v="12"/>
    <x v="1"/>
  </r>
  <r>
    <x v="2253"/>
    <x v="15"/>
    <x v="2"/>
    <n v="33.9"/>
    <n v="101.69999999999999"/>
    <x v="82"/>
    <x v="81"/>
    <s v="M"/>
    <x v="2"/>
    <x v="0"/>
    <x v="0"/>
    <x v="6"/>
    <x v="1"/>
    <x v="12"/>
    <x v="1"/>
  </r>
  <r>
    <x v="2254"/>
    <x v="7"/>
    <x v="20"/>
    <n v="73.3"/>
    <n v="1099.5"/>
    <x v="82"/>
    <x v="87"/>
    <s v="F"/>
    <x v="2"/>
    <x v="1"/>
    <x v="0"/>
    <x v="8"/>
    <x v="2"/>
    <x v="12"/>
    <x v="2"/>
  </r>
  <r>
    <x v="2255"/>
    <x v="8"/>
    <x v="12"/>
    <n v="35"/>
    <n v="140"/>
    <x v="82"/>
    <x v="81"/>
    <s v="F"/>
    <x v="1"/>
    <x v="0"/>
    <x v="0"/>
    <x v="8"/>
    <x v="1"/>
    <x v="12"/>
    <x v="2"/>
  </r>
  <r>
    <x v="2256"/>
    <x v="0"/>
    <x v="2"/>
    <n v="22.2"/>
    <n v="66.599999999999994"/>
    <x v="82"/>
    <x v="82"/>
    <s v="M"/>
    <x v="1"/>
    <x v="0"/>
    <x v="0"/>
    <x v="17"/>
    <x v="3"/>
    <x v="12"/>
    <x v="1"/>
  </r>
  <r>
    <x v="2257"/>
    <x v="10"/>
    <x v="0"/>
    <n v="32.4"/>
    <n v="32.4"/>
    <x v="82"/>
    <x v="82"/>
    <s v="F"/>
    <x v="0"/>
    <x v="0"/>
    <x v="0"/>
    <x v="11"/>
    <x v="3"/>
    <x v="12"/>
    <x v="2"/>
  </r>
  <r>
    <x v="2258"/>
    <x v="5"/>
    <x v="2"/>
    <n v="88.4"/>
    <n v="265.20000000000005"/>
    <x v="83"/>
    <x v="87"/>
    <s v="F"/>
    <x v="1"/>
    <x v="1"/>
    <x v="0"/>
    <x v="11"/>
    <x v="1"/>
    <x v="12"/>
    <x v="2"/>
  </r>
  <r>
    <x v="2259"/>
    <x v="5"/>
    <x v="27"/>
    <n v="30.5"/>
    <n v="488"/>
    <x v="83"/>
    <x v="81"/>
    <s v="F"/>
    <x v="2"/>
    <x v="0"/>
    <x v="0"/>
    <x v="11"/>
    <x v="3"/>
    <x v="12"/>
    <x v="2"/>
  </r>
  <r>
    <x v="2260"/>
    <x v="1"/>
    <x v="13"/>
    <n v="38.1"/>
    <n v="228.60000000000002"/>
    <x v="83"/>
    <x v="87"/>
    <s v="F"/>
    <x v="0"/>
    <x v="1"/>
    <x v="0"/>
    <x v="11"/>
    <x v="1"/>
    <x v="12"/>
    <x v="2"/>
  </r>
  <r>
    <x v="2261"/>
    <x v="10"/>
    <x v="9"/>
    <n v="37.6"/>
    <n v="188"/>
    <x v="83"/>
    <x v="90"/>
    <s v="M"/>
    <x v="0"/>
    <x v="0"/>
    <x v="0"/>
    <x v="11"/>
    <x v="5"/>
    <x v="12"/>
    <x v="1"/>
  </r>
  <r>
    <x v="2262"/>
    <x v="15"/>
    <x v="1"/>
    <n v="31.4"/>
    <n v="62.8"/>
    <x v="83"/>
    <x v="81"/>
    <s v="M"/>
    <x v="0"/>
    <x v="2"/>
    <x v="0"/>
    <x v="11"/>
    <x v="3"/>
    <x v="12"/>
    <x v="1"/>
  </r>
  <r>
    <x v="2263"/>
    <x v="6"/>
    <x v="1"/>
    <n v="61.5"/>
    <n v="123"/>
    <x v="83"/>
    <x v="81"/>
    <s v="M"/>
    <x v="3"/>
    <x v="0"/>
    <x v="0"/>
    <x v="31"/>
    <x v="3"/>
    <x v="12"/>
    <x v="1"/>
  </r>
  <r>
    <x v="2264"/>
    <x v="6"/>
    <x v="0"/>
    <n v="72.599999999999994"/>
    <n v="72.599999999999994"/>
    <x v="83"/>
    <x v="81"/>
    <s v="M"/>
    <x v="0"/>
    <x v="1"/>
    <x v="0"/>
    <x v="21"/>
    <x v="3"/>
    <x v="12"/>
    <x v="1"/>
  </r>
  <r>
    <x v="2265"/>
    <x v="9"/>
    <x v="2"/>
    <n v="26.9"/>
    <n v="80.699999999999989"/>
    <x v="83"/>
    <x v="89"/>
    <s v="O"/>
    <x v="4"/>
    <x v="1"/>
    <x v="0"/>
    <x v="46"/>
    <x v="0"/>
    <x v="12"/>
    <x v="3"/>
  </r>
  <r>
    <x v="2266"/>
    <x v="17"/>
    <x v="4"/>
    <n v="29.4"/>
    <n v="352.79999999999995"/>
    <x v="83"/>
    <x v="81"/>
    <s v="F"/>
    <x v="1"/>
    <x v="0"/>
    <x v="0"/>
    <x v="51"/>
    <x v="3"/>
    <x v="12"/>
    <x v="2"/>
  </r>
  <r>
    <x v="2267"/>
    <x v="17"/>
    <x v="1"/>
    <n v="42.1"/>
    <n v="84.2"/>
    <x v="83"/>
    <x v="81"/>
    <s v="F"/>
    <x v="3"/>
    <x v="1"/>
    <x v="0"/>
    <x v="1"/>
    <x v="3"/>
    <x v="12"/>
    <x v="2"/>
  </r>
  <r>
    <x v="2268"/>
    <x v="5"/>
    <x v="0"/>
    <n v="40.5"/>
    <n v="40.5"/>
    <x v="83"/>
    <x v="81"/>
    <s v="F"/>
    <x v="2"/>
    <x v="1"/>
    <x v="0"/>
    <x v="1"/>
    <x v="3"/>
    <x v="12"/>
    <x v="2"/>
  </r>
  <r>
    <x v="2269"/>
    <x v="2"/>
    <x v="12"/>
    <n v="182.3"/>
    <n v="729.2"/>
    <x v="83"/>
    <x v="81"/>
    <s v="F"/>
    <x v="1"/>
    <x v="0"/>
    <x v="0"/>
    <x v="1"/>
    <x v="3"/>
    <x v="12"/>
    <x v="2"/>
  </r>
  <r>
    <x v="2270"/>
    <x v="2"/>
    <x v="9"/>
    <n v="157"/>
    <n v="785"/>
    <x v="83"/>
    <x v="86"/>
    <s v="F"/>
    <x v="1"/>
    <x v="2"/>
    <x v="0"/>
    <x v="2"/>
    <x v="2"/>
    <x v="12"/>
    <x v="2"/>
  </r>
  <r>
    <x v="2271"/>
    <x v="17"/>
    <x v="9"/>
    <n v="45.2"/>
    <n v="226"/>
    <x v="83"/>
    <x v="86"/>
    <s v="F"/>
    <x v="1"/>
    <x v="0"/>
    <x v="0"/>
    <x v="22"/>
    <x v="2"/>
    <x v="12"/>
    <x v="2"/>
  </r>
  <r>
    <x v="2272"/>
    <x v="15"/>
    <x v="12"/>
    <n v="27.4"/>
    <n v="109.6"/>
    <x v="83"/>
    <x v="87"/>
    <s v="F"/>
    <x v="0"/>
    <x v="0"/>
    <x v="0"/>
    <x v="3"/>
    <x v="1"/>
    <x v="12"/>
    <x v="2"/>
  </r>
  <r>
    <x v="2273"/>
    <x v="5"/>
    <x v="9"/>
    <n v="34.1"/>
    <n v="170.5"/>
    <x v="83"/>
    <x v="87"/>
    <s v="M"/>
    <x v="0"/>
    <x v="2"/>
    <x v="0"/>
    <x v="3"/>
    <x v="1"/>
    <x v="12"/>
    <x v="1"/>
  </r>
  <r>
    <x v="2274"/>
    <x v="0"/>
    <x v="1"/>
    <n v="26"/>
    <n v="52"/>
    <x v="83"/>
    <x v="87"/>
    <s v="M"/>
    <x v="2"/>
    <x v="1"/>
    <x v="0"/>
    <x v="3"/>
    <x v="1"/>
    <x v="12"/>
    <x v="1"/>
  </r>
  <r>
    <x v="2275"/>
    <x v="8"/>
    <x v="3"/>
    <n v="19.399999999999999"/>
    <n v="135.79999999999998"/>
    <x v="83"/>
    <x v="87"/>
    <s v=""/>
    <x v="1"/>
    <x v="1"/>
    <x v="0"/>
    <x v="3"/>
    <x v="1"/>
    <x v="12"/>
    <x v="0"/>
  </r>
  <r>
    <x v="2276"/>
    <x v="16"/>
    <x v="2"/>
    <n v="30.3"/>
    <n v="90.9"/>
    <x v="83"/>
    <x v="86"/>
    <s v="F"/>
    <x v="1"/>
    <x v="2"/>
    <x v="0"/>
    <x v="3"/>
    <x v="2"/>
    <x v="12"/>
    <x v="2"/>
  </r>
  <r>
    <x v="2277"/>
    <x v="2"/>
    <x v="2"/>
    <n v="101.4"/>
    <n v="304.20000000000005"/>
    <x v="83"/>
    <x v="81"/>
    <s v="M"/>
    <x v="0"/>
    <x v="0"/>
    <x v="0"/>
    <x v="3"/>
    <x v="3"/>
    <x v="12"/>
    <x v="1"/>
  </r>
  <r>
    <x v="2278"/>
    <x v="3"/>
    <x v="9"/>
    <n v="55.5"/>
    <n v="277.5"/>
    <x v="83"/>
    <x v="86"/>
    <s v="M"/>
    <x v="1"/>
    <x v="0"/>
    <x v="0"/>
    <x v="24"/>
    <x v="2"/>
    <x v="12"/>
    <x v="1"/>
  </r>
  <r>
    <x v="2279"/>
    <x v="8"/>
    <x v="0"/>
    <n v="23.1"/>
    <n v="23.1"/>
    <x v="83"/>
    <x v="81"/>
    <s v="M"/>
    <x v="0"/>
    <x v="0"/>
    <x v="0"/>
    <x v="25"/>
    <x v="3"/>
    <x v="12"/>
    <x v="1"/>
  </r>
  <r>
    <x v="2280"/>
    <x v="18"/>
    <x v="1"/>
    <n v="38.9"/>
    <n v="77.8"/>
    <x v="83"/>
    <x v="81"/>
    <s v="M"/>
    <x v="2"/>
    <x v="0"/>
    <x v="0"/>
    <x v="25"/>
    <x v="3"/>
    <x v="12"/>
    <x v="1"/>
  </r>
  <r>
    <x v="2281"/>
    <x v="6"/>
    <x v="11"/>
    <n v="116.3"/>
    <n v="1046.7"/>
    <x v="83"/>
    <x v="90"/>
    <s v="F"/>
    <x v="0"/>
    <x v="0"/>
    <x v="0"/>
    <x v="5"/>
    <x v="5"/>
    <x v="12"/>
    <x v="2"/>
  </r>
  <r>
    <x v="2282"/>
    <x v="16"/>
    <x v="11"/>
    <n v="64.099999999999994"/>
    <n v="576.9"/>
    <x v="83"/>
    <x v="82"/>
    <s v="F"/>
    <x v="0"/>
    <x v="2"/>
    <x v="0"/>
    <x v="6"/>
    <x v="7"/>
    <x v="12"/>
    <x v="2"/>
  </r>
  <r>
    <x v="2283"/>
    <x v="2"/>
    <x v="13"/>
    <n v="109.2"/>
    <n v="655.20000000000005"/>
    <x v="83"/>
    <x v="87"/>
    <s v="M"/>
    <x v="0"/>
    <x v="1"/>
    <x v="0"/>
    <x v="8"/>
    <x v="1"/>
    <x v="12"/>
    <x v="1"/>
  </r>
  <r>
    <x v="2284"/>
    <x v="10"/>
    <x v="9"/>
    <n v="23.2"/>
    <n v="116"/>
    <x v="84"/>
    <x v="87"/>
    <s v="M"/>
    <x v="0"/>
    <x v="1"/>
    <x v="0"/>
    <x v="8"/>
    <x v="3"/>
    <x v="12"/>
    <x v="1"/>
  </r>
  <r>
    <x v="2285"/>
    <x v="18"/>
    <x v="13"/>
    <n v="81.2"/>
    <n v="487.20000000000005"/>
    <x v="84"/>
    <x v="86"/>
    <s v="M"/>
    <x v="2"/>
    <x v="2"/>
    <x v="0"/>
    <x v="8"/>
    <x v="1"/>
    <x v="12"/>
    <x v="1"/>
  </r>
  <r>
    <x v="2286"/>
    <x v="1"/>
    <x v="21"/>
    <n v="35.700000000000003"/>
    <n v="499.80000000000007"/>
    <x v="84"/>
    <x v="87"/>
    <s v="M"/>
    <x v="3"/>
    <x v="0"/>
    <x v="0"/>
    <x v="8"/>
    <x v="3"/>
    <x v="12"/>
    <x v="1"/>
  </r>
  <r>
    <x v="2287"/>
    <x v="7"/>
    <x v="1"/>
    <n v="44.5"/>
    <n v="89"/>
    <x v="84"/>
    <x v="90"/>
    <s v="M"/>
    <x v="4"/>
    <x v="0"/>
    <x v="0"/>
    <x v="9"/>
    <x v="2"/>
    <x v="12"/>
    <x v="1"/>
  </r>
  <r>
    <x v="2288"/>
    <x v="1"/>
    <x v="9"/>
    <n v="32"/>
    <n v="160"/>
    <x v="84"/>
    <x v="86"/>
    <s v="O"/>
    <x v="1"/>
    <x v="1"/>
    <x v="0"/>
    <x v="9"/>
    <x v="1"/>
    <x v="12"/>
    <x v="3"/>
  </r>
  <r>
    <x v="2289"/>
    <x v="8"/>
    <x v="0"/>
    <n v="25.7"/>
    <n v="25.7"/>
    <x v="84"/>
    <x v="87"/>
    <s v="M"/>
    <x v="0"/>
    <x v="0"/>
    <x v="0"/>
    <x v="10"/>
    <x v="3"/>
    <x v="12"/>
    <x v="1"/>
  </r>
  <r>
    <x v="2290"/>
    <x v="16"/>
    <x v="2"/>
    <n v="65.599999999999994"/>
    <n v="196.79999999999998"/>
    <x v="84"/>
    <x v="84"/>
    <s v="M"/>
    <x v="0"/>
    <x v="0"/>
    <x v="0"/>
    <x v="11"/>
    <x v="4"/>
    <x v="12"/>
    <x v="1"/>
  </r>
  <r>
    <x v="2291"/>
    <x v="1"/>
    <x v="12"/>
    <n v="52.1"/>
    <n v="208.4"/>
    <x v="84"/>
    <x v="87"/>
    <s v="F"/>
    <x v="0"/>
    <x v="2"/>
    <x v="0"/>
    <x v="11"/>
    <x v="3"/>
    <x v="12"/>
    <x v="2"/>
  </r>
  <r>
    <x v="2292"/>
    <x v="8"/>
    <x v="0"/>
    <n v="31"/>
    <n v="31"/>
    <x v="84"/>
    <x v="87"/>
    <s v="M"/>
    <x v="0"/>
    <x v="1"/>
    <x v="0"/>
    <x v="19"/>
    <x v="3"/>
    <x v="12"/>
    <x v="1"/>
  </r>
  <r>
    <x v="2293"/>
    <x v="8"/>
    <x v="0"/>
    <n v="32"/>
    <n v="32"/>
    <x v="84"/>
    <x v="86"/>
    <s v="O"/>
    <x v="3"/>
    <x v="1"/>
    <x v="0"/>
    <x v="31"/>
    <x v="1"/>
    <x v="12"/>
    <x v="3"/>
  </r>
  <r>
    <x v="2294"/>
    <x v="16"/>
    <x v="12"/>
    <n v="58.3"/>
    <n v="233.2"/>
    <x v="84"/>
    <x v="89"/>
    <s v="M"/>
    <x v="1"/>
    <x v="4"/>
    <x v="0"/>
    <x v="20"/>
    <x v="5"/>
    <x v="12"/>
    <x v="1"/>
  </r>
  <r>
    <x v="2295"/>
    <x v="8"/>
    <x v="2"/>
    <n v="31"/>
    <n v="93"/>
    <x v="84"/>
    <x v="86"/>
    <s v="F"/>
    <x v="2"/>
    <x v="4"/>
    <x v="0"/>
    <x v="13"/>
    <x v="1"/>
    <x v="12"/>
    <x v="2"/>
  </r>
  <r>
    <x v="2296"/>
    <x v="3"/>
    <x v="0"/>
    <n v="40.299999999999997"/>
    <n v="40.299999999999997"/>
    <x v="84"/>
    <x v="87"/>
    <s v="M"/>
    <x v="1"/>
    <x v="2"/>
    <x v="0"/>
    <x v="54"/>
    <x v="3"/>
    <x v="12"/>
    <x v="1"/>
  </r>
  <r>
    <x v="2297"/>
    <x v="6"/>
    <x v="2"/>
    <n v="47.3"/>
    <n v="141.89999999999998"/>
    <x v="84"/>
    <x v="86"/>
    <s v="M"/>
    <x v="4"/>
    <x v="2"/>
    <x v="0"/>
    <x v="2"/>
    <x v="1"/>
    <x v="12"/>
    <x v="1"/>
  </r>
  <r>
    <x v="2298"/>
    <x v="2"/>
    <x v="0"/>
    <n v="82.8"/>
    <n v="82.8"/>
    <x v="84"/>
    <x v="87"/>
    <s v="M"/>
    <x v="0"/>
    <x v="0"/>
    <x v="0"/>
    <x v="2"/>
    <x v="3"/>
    <x v="12"/>
    <x v="1"/>
  </r>
  <r>
    <x v="2299"/>
    <x v="8"/>
    <x v="0"/>
    <n v="18.5"/>
    <n v="18.5"/>
    <x v="84"/>
    <x v="91"/>
    <s v="F"/>
    <x v="0"/>
    <x v="0"/>
    <x v="0"/>
    <x v="44"/>
    <x v="12"/>
    <x v="12"/>
    <x v="2"/>
  </r>
  <r>
    <x v="2300"/>
    <x v="3"/>
    <x v="1"/>
    <n v="60.4"/>
    <n v="120.8"/>
    <x v="84"/>
    <x v="87"/>
    <s v="M"/>
    <x v="2"/>
    <x v="0"/>
    <x v="0"/>
    <x v="22"/>
    <x v="3"/>
    <x v="12"/>
    <x v="1"/>
  </r>
  <r>
    <x v="2301"/>
    <x v="6"/>
    <x v="9"/>
    <n v="80.2"/>
    <n v="401"/>
    <x v="84"/>
    <x v="92"/>
    <s v="M"/>
    <x v="1"/>
    <x v="1"/>
    <x v="0"/>
    <x v="50"/>
    <x v="6"/>
    <x v="12"/>
    <x v="1"/>
  </r>
  <r>
    <x v="2302"/>
    <x v="4"/>
    <x v="0"/>
    <n v="41.5"/>
    <n v="41.5"/>
    <x v="84"/>
    <x v="86"/>
    <s v="M"/>
    <x v="2"/>
    <x v="0"/>
    <x v="0"/>
    <x v="3"/>
    <x v="1"/>
    <x v="12"/>
    <x v="1"/>
  </r>
  <r>
    <x v="2303"/>
    <x v="2"/>
    <x v="1"/>
    <n v="83.9"/>
    <n v="167.8"/>
    <x v="84"/>
    <x v="90"/>
    <s v="F"/>
    <x v="0"/>
    <x v="0"/>
    <x v="0"/>
    <x v="3"/>
    <x v="2"/>
    <x v="12"/>
    <x v="2"/>
  </r>
  <r>
    <x v="2304"/>
    <x v="8"/>
    <x v="1"/>
    <n v="16.7"/>
    <n v="33.4"/>
    <x v="84"/>
    <x v="89"/>
    <s v="F"/>
    <x v="0"/>
    <x v="1"/>
    <x v="0"/>
    <x v="3"/>
    <x v="5"/>
    <x v="12"/>
    <x v="2"/>
  </r>
  <r>
    <x v="2305"/>
    <x v="9"/>
    <x v="1"/>
    <n v="72.900000000000006"/>
    <n v="145.80000000000001"/>
    <x v="84"/>
    <x v="87"/>
    <s v="M"/>
    <x v="2"/>
    <x v="1"/>
    <x v="0"/>
    <x v="3"/>
    <x v="3"/>
    <x v="12"/>
    <x v="1"/>
  </r>
  <r>
    <x v="2306"/>
    <x v="5"/>
    <x v="1"/>
    <n v="50.2"/>
    <n v="100.4"/>
    <x v="84"/>
    <x v="86"/>
    <s v="F"/>
    <x v="1"/>
    <x v="2"/>
    <x v="0"/>
    <x v="3"/>
    <x v="1"/>
    <x v="12"/>
    <x v="2"/>
  </r>
  <r>
    <x v="2307"/>
    <x v="3"/>
    <x v="1"/>
    <n v="34.200000000000003"/>
    <n v="68.400000000000006"/>
    <x v="84"/>
    <x v="93"/>
    <s v=""/>
    <x v="1"/>
    <x v="0"/>
    <x v="0"/>
    <x v="3"/>
    <x v="14"/>
    <x v="12"/>
    <x v="0"/>
  </r>
  <r>
    <x v="2308"/>
    <x v="5"/>
    <x v="1"/>
    <n v="107.9"/>
    <n v="215.8"/>
    <x v="84"/>
    <x v="81"/>
    <s v="M"/>
    <x v="1"/>
    <x v="4"/>
    <x v="0"/>
    <x v="3"/>
    <x v="7"/>
    <x v="12"/>
    <x v="1"/>
  </r>
  <r>
    <x v="2309"/>
    <x v="0"/>
    <x v="2"/>
    <n v="17.5"/>
    <n v="52.5"/>
    <x v="84"/>
    <x v="86"/>
    <s v="M"/>
    <x v="4"/>
    <x v="0"/>
    <x v="0"/>
    <x v="3"/>
    <x v="1"/>
    <x v="12"/>
    <x v="1"/>
  </r>
  <r>
    <x v="2310"/>
    <x v="13"/>
    <x v="20"/>
    <n v="44.7"/>
    <n v="670.5"/>
    <x v="84"/>
    <x v="87"/>
    <s v="M"/>
    <x v="0"/>
    <x v="1"/>
    <x v="0"/>
    <x v="3"/>
    <x v="3"/>
    <x v="12"/>
    <x v="1"/>
  </r>
  <r>
    <x v="2311"/>
    <x v="12"/>
    <x v="13"/>
    <n v="92.7"/>
    <n v="556.20000000000005"/>
    <x v="84"/>
    <x v="86"/>
    <s v="F"/>
    <x v="2"/>
    <x v="1"/>
    <x v="0"/>
    <x v="3"/>
    <x v="1"/>
    <x v="12"/>
    <x v="2"/>
  </r>
  <r>
    <x v="2312"/>
    <x v="7"/>
    <x v="2"/>
    <n v="48.8"/>
    <n v="146.39999999999998"/>
    <x v="84"/>
    <x v="86"/>
    <s v="F"/>
    <x v="2"/>
    <x v="0"/>
    <x v="0"/>
    <x v="3"/>
    <x v="1"/>
    <x v="12"/>
    <x v="2"/>
  </r>
  <r>
    <x v="2313"/>
    <x v="4"/>
    <x v="27"/>
    <n v="21.3"/>
    <n v="340.8"/>
    <x v="84"/>
    <x v="89"/>
    <s v="F"/>
    <x v="3"/>
    <x v="3"/>
    <x v="0"/>
    <x v="3"/>
    <x v="5"/>
    <x v="12"/>
    <x v="2"/>
  </r>
  <r>
    <x v="2314"/>
    <x v="16"/>
    <x v="0"/>
    <n v="52.5"/>
    <n v="52.5"/>
    <x v="84"/>
    <x v="87"/>
    <s v="F"/>
    <x v="0"/>
    <x v="0"/>
    <x v="0"/>
    <x v="3"/>
    <x v="3"/>
    <x v="12"/>
    <x v="2"/>
  </r>
  <r>
    <x v="2315"/>
    <x v="1"/>
    <x v="1"/>
    <n v="92.4"/>
    <n v="184.8"/>
    <x v="84"/>
    <x v="84"/>
    <s v="F"/>
    <x v="0"/>
    <x v="2"/>
    <x v="0"/>
    <x v="3"/>
    <x v="4"/>
    <x v="12"/>
    <x v="2"/>
  </r>
  <r>
    <x v="2316"/>
    <x v="4"/>
    <x v="5"/>
    <n v="58.3"/>
    <n v="641.29999999999995"/>
    <x v="84"/>
    <x v="86"/>
    <s v="M"/>
    <x v="1"/>
    <x v="2"/>
    <x v="0"/>
    <x v="3"/>
    <x v="1"/>
    <x v="12"/>
    <x v="1"/>
  </r>
  <r>
    <x v="2317"/>
    <x v="6"/>
    <x v="44"/>
    <n v="152.6"/>
    <n v="3509.7999999999997"/>
    <x v="85"/>
    <x v="90"/>
    <s v=""/>
    <x v="0"/>
    <x v="0"/>
    <x v="0"/>
    <x v="3"/>
    <x v="1"/>
    <x v="12"/>
    <x v="0"/>
  </r>
  <r>
    <x v="2318"/>
    <x v="8"/>
    <x v="1"/>
    <n v="26"/>
    <n v="52"/>
    <x v="85"/>
    <x v="87"/>
    <s v=""/>
    <x v="0"/>
    <x v="1"/>
    <x v="0"/>
    <x v="3"/>
    <x v="7"/>
    <x v="12"/>
    <x v="0"/>
  </r>
  <r>
    <x v="2319"/>
    <x v="1"/>
    <x v="12"/>
    <n v="33.1"/>
    <n v="132.4"/>
    <x v="85"/>
    <x v="87"/>
    <s v="M"/>
    <x v="2"/>
    <x v="4"/>
    <x v="0"/>
    <x v="5"/>
    <x v="7"/>
    <x v="12"/>
    <x v="1"/>
  </r>
  <r>
    <x v="2320"/>
    <x v="18"/>
    <x v="0"/>
    <n v="51.4"/>
    <n v="51.4"/>
    <x v="85"/>
    <x v="90"/>
    <s v="F"/>
    <x v="1"/>
    <x v="1"/>
    <x v="0"/>
    <x v="5"/>
    <x v="1"/>
    <x v="12"/>
    <x v="2"/>
  </r>
  <r>
    <x v="2321"/>
    <x v="8"/>
    <x v="1"/>
    <n v="30.2"/>
    <n v="60.4"/>
    <x v="85"/>
    <x v="86"/>
    <s v="F"/>
    <x v="2"/>
    <x v="2"/>
    <x v="0"/>
    <x v="6"/>
    <x v="3"/>
    <x v="12"/>
    <x v="2"/>
  </r>
  <r>
    <x v="2322"/>
    <x v="2"/>
    <x v="13"/>
    <n v="97"/>
    <n v="582"/>
    <x v="85"/>
    <x v="88"/>
    <s v="F"/>
    <x v="0"/>
    <x v="2"/>
    <x v="0"/>
    <x v="7"/>
    <x v="5"/>
    <x v="12"/>
    <x v="2"/>
  </r>
  <r>
    <x v="2323"/>
    <x v="2"/>
    <x v="0"/>
    <n v="76.900000000000006"/>
    <n v="76.900000000000006"/>
    <x v="85"/>
    <x v="86"/>
    <s v="M"/>
    <x v="1"/>
    <x v="2"/>
    <x v="0"/>
    <x v="8"/>
    <x v="3"/>
    <x v="12"/>
    <x v="1"/>
  </r>
  <r>
    <x v="2324"/>
    <x v="7"/>
    <x v="13"/>
    <n v="36.1"/>
    <n v="216.60000000000002"/>
    <x v="85"/>
    <x v="88"/>
    <s v="F"/>
    <x v="0"/>
    <x v="0"/>
    <x v="0"/>
    <x v="8"/>
    <x v="5"/>
    <x v="12"/>
    <x v="2"/>
  </r>
  <r>
    <x v="2325"/>
    <x v="1"/>
    <x v="3"/>
    <n v="34.4"/>
    <n v="240.79999999999998"/>
    <x v="85"/>
    <x v="87"/>
    <s v="F"/>
    <x v="2"/>
    <x v="1"/>
    <x v="0"/>
    <x v="11"/>
    <x v="7"/>
    <x v="12"/>
    <x v="2"/>
  </r>
  <r>
    <x v="2326"/>
    <x v="1"/>
    <x v="31"/>
    <n v="53.4"/>
    <n v="1495.2"/>
    <x v="85"/>
    <x v="90"/>
    <s v="F"/>
    <x v="1"/>
    <x v="0"/>
    <x v="0"/>
    <x v="18"/>
    <x v="1"/>
    <x v="12"/>
    <x v="2"/>
  </r>
  <r>
    <x v="2327"/>
    <x v="2"/>
    <x v="0"/>
    <n v="77.599999999999994"/>
    <n v="77.599999999999994"/>
    <x v="85"/>
    <x v="86"/>
    <s v="F"/>
    <x v="0"/>
    <x v="1"/>
    <x v="0"/>
    <x v="19"/>
    <x v="3"/>
    <x v="12"/>
    <x v="2"/>
  </r>
  <r>
    <x v="2328"/>
    <x v="1"/>
    <x v="2"/>
    <n v="71.7"/>
    <n v="215.10000000000002"/>
    <x v="85"/>
    <x v="89"/>
    <s v="F"/>
    <x v="1"/>
    <x v="0"/>
    <x v="0"/>
    <x v="19"/>
    <x v="2"/>
    <x v="12"/>
    <x v="2"/>
  </r>
  <r>
    <x v="2329"/>
    <x v="3"/>
    <x v="2"/>
    <n v="80.599999999999994"/>
    <n v="241.79999999999998"/>
    <x v="85"/>
    <x v="86"/>
    <s v="M"/>
    <x v="4"/>
    <x v="1"/>
    <x v="0"/>
    <x v="19"/>
    <x v="3"/>
    <x v="12"/>
    <x v="1"/>
  </r>
  <r>
    <x v="2330"/>
    <x v="1"/>
    <x v="20"/>
    <n v="70"/>
    <n v="1050"/>
    <x v="85"/>
    <x v="90"/>
    <s v="M"/>
    <x v="0"/>
    <x v="0"/>
    <x v="0"/>
    <x v="20"/>
    <x v="1"/>
    <x v="12"/>
    <x v="1"/>
  </r>
  <r>
    <x v="2331"/>
    <x v="4"/>
    <x v="13"/>
    <n v="27.3"/>
    <n v="163.80000000000001"/>
    <x v="85"/>
    <x v="90"/>
    <s v="F"/>
    <x v="1"/>
    <x v="1"/>
    <x v="0"/>
    <x v="2"/>
    <x v="1"/>
    <x v="12"/>
    <x v="2"/>
  </r>
  <r>
    <x v="2332"/>
    <x v="8"/>
    <x v="21"/>
    <n v="37.6"/>
    <n v="526.4"/>
    <x v="85"/>
    <x v="90"/>
    <s v="M"/>
    <x v="1"/>
    <x v="0"/>
    <x v="0"/>
    <x v="3"/>
    <x v="1"/>
    <x v="12"/>
    <x v="1"/>
  </r>
  <r>
    <x v="2333"/>
    <x v="5"/>
    <x v="2"/>
    <n v="36.6"/>
    <n v="109.80000000000001"/>
    <x v="85"/>
    <x v="90"/>
    <s v="F"/>
    <x v="4"/>
    <x v="0"/>
    <x v="0"/>
    <x v="3"/>
    <x v="1"/>
    <x v="12"/>
    <x v="2"/>
  </r>
  <r>
    <x v="2334"/>
    <x v="13"/>
    <x v="0"/>
    <n v="55.2"/>
    <n v="55.2"/>
    <x v="85"/>
    <x v="90"/>
    <s v="M"/>
    <x v="3"/>
    <x v="0"/>
    <x v="0"/>
    <x v="3"/>
    <x v="1"/>
    <x v="12"/>
    <x v="1"/>
  </r>
  <r>
    <x v="2335"/>
    <x v="6"/>
    <x v="9"/>
    <n v="59.9"/>
    <n v="299.5"/>
    <x v="85"/>
    <x v="90"/>
    <s v="M"/>
    <x v="0"/>
    <x v="0"/>
    <x v="0"/>
    <x v="3"/>
    <x v="1"/>
    <x v="12"/>
    <x v="1"/>
  </r>
  <r>
    <x v="2336"/>
    <x v="6"/>
    <x v="0"/>
    <n v="44"/>
    <n v="44"/>
    <x v="85"/>
    <x v="86"/>
    <s v="F"/>
    <x v="2"/>
    <x v="2"/>
    <x v="0"/>
    <x v="3"/>
    <x v="3"/>
    <x v="12"/>
    <x v="2"/>
  </r>
  <r>
    <x v="2337"/>
    <x v="9"/>
    <x v="1"/>
    <n v="68.7"/>
    <n v="137.4"/>
    <x v="85"/>
    <x v="87"/>
    <s v="M"/>
    <x v="0"/>
    <x v="0"/>
    <x v="0"/>
    <x v="3"/>
    <x v="7"/>
    <x v="12"/>
    <x v="1"/>
  </r>
  <r>
    <x v="2338"/>
    <x v="5"/>
    <x v="1"/>
    <n v="61.6"/>
    <n v="123.2"/>
    <x v="85"/>
    <x v="88"/>
    <s v="M"/>
    <x v="3"/>
    <x v="1"/>
    <x v="0"/>
    <x v="3"/>
    <x v="5"/>
    <x v="12"/>
    <x v="1"/>
  </r>
  <r>
    <x v="2339"/>
    <x v="7"/>
    <x v="3"/>
    <n v="51.8"/>
    <n v="362.59999999999997"/>
    <x v="85"/>
    <x v="86"/>
    <s v="M"/>
    <x v="0"/>
    <x v="0"/>
    <x v="0"/>
    <x v="3"/>
    <x v="3"/>
    <x v="12"/>
    <x v="1"/>
  </r>
  <r>
    <x v="2340"/>
    <x v="8"/>
    <x v="7"/>
    <n v="46.2"/>
    <n v="462"/>
    <x v="85"/>
    <x v="90"/>
    <s v="M"/>
    <x v="1"/>
    <x v="2"/>
    <x v="0"/>
    <x v="3"/>
    <x v="1"/>
    <x v="12"/>
    <x v="1"/>
  </r>
  <r>
    <x v="2341"/>
    <x v="0"/>
    <x v="1"/>
    <n v="19.399999999999999"/>
    <n v="38.799999999999997"/>
    <x v="85"/>
    <x v="90"/>
    <s v="F"/>
    <x v="1"/>
    <x v="2"/>
    <x v="0"/>
    <x v="6"/>
    <x v="1"/>
    <x v="12"/>
    <x v="2"/>
  </r>
  <r>
    <x v="2342"/>
    <x v="11"/>
    <x v="2"/>
    <n v="52.1"/>
    <n v="156.30000000000001"/>
    <x v="85"/>
    <x v="89"/>
    <s v="M"/>
    <x v="3"/>
    <x v="3"/>
    <x v="0"/>
    <x v="6"/>
    <x v="2"/>
    <x v="12"/>
    <x v="1"/>
  </r>
  <r>
    <x v="2343"/>
    <x v="6"/>
    <x v="0"/>
    <n v="74.900000000000006"/>
    <n v="74.900000000000006"/>
    <x v="85"/>
    <x v="90"/>
    <s v="O"/>
    <x v="0"/>
    <x v="0"/>
    <x v="0"/>
    <x v="7"/>
    <x v="1"/>
    <x v="12"/>
    <x v="3"/>
  </r>
  <r>
    <x v="2344"/>
    <x v="9"/>
    <x v="3"/>
    <n v="49.6"/>
    <n v="347.2"/>
    <x v="85"/>
    <x v="89"/>
    <s v="F"/>
    <x v="4"/>
    <x v="0"/>
    <x v="0"/>
    <x v="8"/>
    <x v="2"/>
    <x v="12"/>
    <x v="2"/>
  </r>
  <r>
    <x v="2345"/>
    <x v="16"/>
    <x v="12"/>
    <n v="82.8"/>
    <n v="331.2"/>
    <x v="86"/>
    <x v="88"/>
    <s v="F"/>
    <x v="4"/>
    <x v="0"/>
    <x v="0"/>
    <x v="8"/>
    <x v="2"/>
    <x v="12"/>
    <x v="2"/>
  </r>
  <r>
    <x v="2346"/>
    <x v="2"/>
    <x v="0"/>
    <n v="97.7"/>
    <n v="97.7"/>
    <x v="86"/>
    <x v="90"/>
    <s v="F"/>
    <x v="1"/>
    <x v="0"/>
    <x v="0"/>
    <x v="8"/>
    <x v="3"/>
    <x v="12"/>
    <x v="2"/>
  </r>
  <r>
    <x v="2347"/>
    <x v="6"/>
    <x v="9"/>
    <n v="83.6"/>
    <n v="418"/>
    <x v="86"/>
    <x v="90"/>
    <s v="F"/>
    <x v="4"/>
    <x v="0"/>
    <x v="0"/>
    <x v="8"/>
    <x v="3"/>
    <x v="12"/>
    <x v="2"/>
  </r>
  <r>
    <x v="2348"/>
    <x v="8"/>
    <x v="9"/>
    <n v="23.5"/>
    <n v="117.5"/>
    <x v="86"/>
    <x v="84"/>
    <s v="O"/>
    <x v="0"/>
    <x v="0"/>
    <x v="0"/>
    <x v="8"/>
    <x v="5"/>
    <x v="12"/>
    <x v="3"/>
  </r>
  <r>
    <x v="2349"/>
    <x v="9"/>
    <x v="2"/>
    <n v="44.6"/>
    <n v="133.80000000000001"/>
    <x v="86"/>
    <x v="88"/>
    <s v="F"/>
    <x v="4"/>
    <x v="1"/>
    <x v="0"/>
    <x v="26"/>
    <x v="2"/>
    <x v="12"/>
    <x v="2"/>
  </r>
  <r>
    <x v="2350"/>
    <x v="0"/>
    <x v="2"/>
    <n v="20.100000000000001"/>
    <n v="60.300000000000004"/>
    <x v="86"/>
    <x v="89"/>
    <s v="F"/>
    <x v="3"/>
    <x v="4"/>
    <x v="0"/>
    <x v="11"/>
    <x v="1"/>
    <x v="12"/>
    <x v="2"/>
  </r>
  <r>
    <x v="2351"/>
    <x v="2"/>
    <x v="9"/>
    <n v="153.6"/>
    <n v="768"/>
    <x v="86"/>
    <x v="90"/>
    <s v="F"/>
    <x v="1"/>
    <x v="2"/>
    <x v="0"/>
    <x v="53"/>
    <x v="3"/>
    <x v="12"/>
    <x v="2"/>
  </r>
  <r>
    <x v="2352"/>
    <x v="1"/>
    <x v="1"/>
    <n v="71.8"/>
    <n v="143.6"/>
    <x v="86"/>
    <x v="84"/>
    <s v="F"/>
    <x v="1"/>
    <x v="0"/>
    <x v="0"/>
    <x v="1"/>
    <x v="5"/>
    <x v="12"/>
    <x v="2"/>
  </r>
  <r>
    <x v="2353"/>
    <x v="10"/>
    <x v="0"/>
    <n v="64.7"/>
    <n v="64.7"/>
    <x v="86"/>
    <x v="89"/>
    <s v=""/>
    <x v="0"/>
    <x v="1"/>
    <x v="0"/>
    <x v="1"/>
    <x v="1"/>
    <x v="12"/>
    <x v="0"/>
  </r>
  <r>
    <x v="2354"/>
    <x v="9"/>
    <x v="8"/>
    <n v="60.4"/>
    <n v="483.2"/>
    <x v="86"/>
    <x v="89"/>
    <s v="F"/>
    <x v="3"/>
    <x v="2"/>
    <x v="0"/>
    <x v="2"/>
    <x v="1"/>
    <x v="12"/>
    <x v="2"/>
  </r>
  <r>
    <x v="2355"/>
    <x v="6"/>
    <x v="12"/>
    <n v="86"/>
    <n v="344"/>
    <x v="86"/>
    <x v="88"/>
    <s v="F"/>
    <x v="2"/>
    <x v="2"/>
    <x v="0"/>
    <x v="22"/>
    <x v="2"/>
    <x v="12"/>
    <x v="2"/>
  </r>
  <r>
    <x v="2356"/>
    <x v="12"/>
    <x v="1"/>
    <n v="42.1"/>
    <n v="84.2"/>
    <x v="86"/>
    <x v="90"/>
    <s v="F"/>
    <x v="4"/>
    <x v="1"/>
    <x v="0"/>
    <x v="34"/>
    <x v="3"/>
    <x v="12"/>
    <x v="2"/>
  </r>
  <r>
    <x v="2357"/>
    <x v="16"/>
    <x v="11"/>
    <n v="51.1"/>
    <n v="459.90000000000003"/>
    <x v="86"/>
    <x v="90"/>
    <s v="M"/>
    <x v="2"/>
    <x v="1"/>
    <x v="0"/>
    <x v="3"/>
    <x v="3"/>
    <x v="12"/>
    <x v="1"/>
  </r>
  <r>
    <x v="2358"/>
    <x v="9"/>
    <x v="12"/>
    <n v="73.8"/>
    <n v="295.2"/>
    <x v="86"/>
    <x v="90"/>
    <s v="M"/>
    <x v="4"/>
    <x v="0"/>
    <x v="0"/>
    <x v="3"/>
    <x v="3"/>
    <x v="12"/>
    <x v="1"/>
  </r>
  <r>
    <x v="2359"/>
    <x v="8"/>
    <x v="9"/>
    <n v="27"/>
    <n v="135"/>
    <x v="86"/>
    <x v="88"/>
    <s v="F"/>
    <x v="2"/>
    <x v="2"/>
    <x v="0"/>
    <x v="3"/>
    <x v="2"/>
    <x v="12"/>
    <x v="2"/>
  </r>
  <r>
    <x v="2360"/>
    <x v="8"/>
    <x v="13"/>
    <n v="60.1"/>
    <n v="360.6"/>
    <x v="86"/>
    <x v="90"/>
    <s v="M"/>
    <x v="3"/>
    <x v="0"/>
    <x v="0"/>
    <x v="3"/>
    <x v="3"/>
    <x v="12"/>
    <x v="1"/>
  </r>
  <r>
    <x v="2361"/>
    <x v="2"/>
    <x v="3"/>
    <n v="94.1"/>
    <n v="658.69999999999993"/>
    <x v="86"/>
    <x v="89"/>
    <s v="F"/>
    <x v="4"/>
    <x v="1"/>
    <x v="0"/>
    <x v="3"/>
    <x v="1"/>
    <x v="12"/>
    <x v="2"/>
  </r>
  <r>
    <x v="2362"/>
    <x v="2"/>
    <x v="1"/>
    <n v="124.1"/>
    <n v="248.2"/>
    <x v="86"/>
    <x v="86"/>
    <s v="F"/>
    <x v="2"/>
    <x v="3"/>
    <x v="0"/>
    <x v="43"/>
    <x v="7"/>
    <x v="12"/>
    <x v="2"/>
  </r>
  <r>
    <x v="2363"/>
    <x v="8"/>
    <x v="12"/>
    <n v="16.899999999999999"/>
    <n v="67.599999999999994"/>
    <x v="86"/>
    <x v="88"/>
    <s v="M"/>
    <x v="3"/>
    <x v="0"/>
    <x v="0"/>
    <x v="6"/>
    <x v="2"/>
    <x v="12"/>
    <x v="1"/>
  </r>
  <r>
    <x v="2364"/>
    <x v="1"/>
    <x v="0"/>
    <n v="36.9"/>
    <n v="36.9"/>
    <x v="86"/>
    <x v="90"/>
    <s v="M"/>
    <x v="0"/>
    <x v="0"/>
    <x v="0"/>
    <x v="6"/>
    <x v="3"/>
    <x v="12"/>
    <x v="1"/>
  </r>
  <r>
    <x v="2365"/>
    <x v="9"/>
    <x v="1"/>
    <n v="22.6"/>
    <n v="45.2"/>
    <x v="86"/>
    <x v="94"/>
    <s v="F"/>
    <x v="2"/>
    <x v="1"/>
    <x v="0"/>
    <x v="8"/>
    <x v="10"/>
    <x v="12"/>
    <x v="2"/>
  </r>
  <r>
    <x v="2366"/>
    <x v="7"/>
    <x v="12"/>
    <n v="35"/>
    <n v="140"/>
    <x v="86"/>
    <x v="92"/>
    <s v="M"/>
    <x v="3"/>
    <x v="1"/>
    <x v="0"/>
    <x v="8"/>
    <x v="0"/>
    <x v="12"/>
    <x v="1"/>
  </r>
  <r>
    <x v="2367"/>
    <x v="9"/>
    <x v="13"/>
    <n v="63.6"/>
    <n v="381.6"/>
    <x v="86"/>
    <x v="95"/>
    <s v=""/>
    <x v="1"/>
    <x v="2"/>
    <x v="0"/>
    <x v="8"/>
    <x v="6"/>
    <x v="12"/>
    <x v="0"/>
  </r>
  <r>
    <x v="2368"/>
    <x v="15"/>
    <x v="12"/>
    <n v="78.599999999999994"/>
    <n v="314.39999999999998"/>
    <x v="86"/>
    <x v="90"/>
    <s v="M"/>
    <x v="4"/>
    <x v="1"/>
    <x v="0"/>
    <x v="8"/>
    <x v="3"/>
    <x v="12"/>
    <x v="1"/>
  </r>
  <r>
    <x v="2369"/>
    <x v="3"/>
    <x v="1"/>
    <n v="38.5"/>
    <n v="77"/>
    <x v="86"/>
    <x v="90"/>
    <s v="M"/>
    <x v="0"/>
    <x v="2"/>
    <x v="0"/>
    <x v="8"/>
    <x v="3"/>
    <x v="12"/>
    <x v="1"/>
  </r>
  <r>
    <x v="2370"/>
    <x v="8"/>
    <x v="5"/>
    <n v="71.5"/>
    <n v="786.5"/>
    <x v="86"/>
    <x v="90"/>
    <s v="F"/>
    <x v="1"/>
    <x v="4"/>
    <x v="0"/>
    <x v="8"/>
    <x v="3"/>
    <x v="12"/>
    <x v="2"/>
  </r>
  <r>
    <x v="2371"/>
    <x v="6"/>
    <x v="12"/>
    <n v="121.4"/>
    <n v="485.6"/>
    <x v="86"/>
    <x v="84"/>
    <s v="M"/>
    <x v="1"/>
    <x v="2"/>
    <x v="0"/>
    <x v="17"/>
    <x v="5"/>
    <x v="12"/>
    <x v="1"/>
  </r>
  <r>
    <x v="2372"/>
    <x v="11"/>
    <x v="0"/>
    <n v="40.200000000000003"/>
    <n v="40.200000000000003"/>
    <x v="86"/>
    <x v="88"/>
    <s v="F"/>
    <x v="0"/>
    <x v="2"/>
    <x v="0"/>
    <x v="11"/>
    <x v="2"/>
    <x v="12"/>
    <x v="2"/>
  </r>
  <r>
    <x v="2373"/>
    <x v="5"/>
    <x v="9"/>
    <n v="31.9"/>
    <n v="159.5"/>
    <x v="86"/>
    <x v="89"/>
    <s v="F"/>
    <x v="2"/>
    <x v="2"/>
    <x v="0"/>
    <x v="28"/>
    <x v="1"/>
    <x v="12"/>
    <x v="2"/>
  </r>
  <r>
    <x v="2374"/>
    <x v="14"/>
    <x v="9"/>
    <n v="15.8"/>
    <n v="79"/>
    <x v="87"/>
    <x v="89"/>
    <s v="M"/>
    <x v="3"/>
    <x v="2"/>
    <x v="0"/>
    <x v="21"/>
    <x v="3"/>
    <x v="12"/>
    <x v="1"/>
  </r>
  <r>
    <x v="2375"/>
    <x v="10"/>
    <x v="1"/>
    <n v="25.1"/>
    <n v="50.2"/>
    <x v="87"/>
    <x v="88"/>
    <s v=""/>
    <x v="1"/>
    <x v="0"/>
    <x v="0"/>
    <x v="21"/>
    <x v="1"/>
    <x v="12"/>
    <x v="0"/>
  </r>
  <r>
    <x v="2376"/>
    <x v="1"/>
    <x v="44"/>
    <n v="38.1"/>
    <n v="876.30000000000007"/>
    <x v="87"/>
    <x v="89"/>
    <s v="F"/>
    <x v="4"/>
    <x v="0"/>
    <x v="0"/>
    <x v="1"/>
    <x v="3"/>
    <x v="12"/>
    <x v="2"/>
  </r>
  <r>
    <x v="2377"/>
    <x v="3"/>
    <x v="1"/>
    <n v="42.2"/>
    <n v="84.4"/>
    <x v="87"/>
    <x v="88"/>
    <s v="F"/>
    <x v="0"/>
    <x v="2"/>
    <x v="0"/>
    <x v="1"/>
    <x v="1"/>
    <x v="12"/>
    <x v="2"/>
  </r>
  <r>
    <x v="2378"/>
    <x v="0"/>
    <x v="7"/>
    <n v="12.3"/>
    <n v="123"/>
    <x v="87"/>
    <x v="89"/>
    <s v="F"/>
    <x v="4"/>
    <x v="0"/>
    <x v="0"/>
    <x v="2"/>
    <x v="3"/>
    <x v="12"/>
    <x v="2"/>
  </r>
  <r>
    <x v="2379"/>
    <x v="7"/>
    <x v="0"/>
    <n v="30.2"/>
    <n v="30.2"/>
    <x v="87"/>
    <x v="88"/>
    <s v="F"/>
    <x v="1"/>
    <x v="2"/>
    <x v="0"/>
    <x v="34"/>
    <x v="1"/>
    <x v="12"/>
    <x v="2"/>
  </r>
  <r>
    <x v="2380"/>
    <x v="5"/>
    <x v="2"/>
    <n v="25.3"/>
    <n v="75.900000000000006"/>
    <x v="87"/>
    <x v="84"/>
    <s v="F"/>
    <x v="2"/>
    <x v="0"/>
    <x v="0"/>
    <x v="3"/>
    <x v="2"/>
    <x v="12"/>
    <x v="2"/>
  </r>
  <r>
    <x v="2381"/>
    <x v="8"/>
    <x v="9"/>
    <n v="29.7"/>
    <n v="148.5"/>
    <x v="87"/>
    <x v="88"/>
    <s v="M"/>
    <x v="3"/>
    <x v="0"/>
    <x v="0"/>
    <x v="3"/>
    <x v="1"/>
    <x v="12"/>
    <x v="1"/>
  </r>
  <r>
    <x v="2382"/>
    <x v="9"/>
    <x v="8"/>
    <n v="32.9"/>
    <n v="263.2"/>
    <x v="87"/>
    <x v="89"/>
    <s v=""/>
    <x v="3"/>
    <x v="2"/>
    <x v="0"/>
    <x v="3"/>
    <x v="3"/>
    <x v="12"/>
    <x v="0"/>
  </r>
  <r>
    <x v="2383"/>
    <x v="10"/>
    <x v="1"/>
    <n v="43.6"/>
    <n v="87.2"/>
    <x v="87"/>
    <x v="89"/>
    <s v="M"/>
    <x v="1"/>
    <x v="2"/>
    <x v="0"/>
    <x v="3"/>
    <x v="3"/>
    <x v="12"/>
    <x v="1"/>
  </r>
  <r>
    <x v="2384"/>
    <x v="15"/>
    <x v="12"/>
    <n v="78.400000000000006"/>
    <n v="313.60000000000002"/>
    <x v="87"/>
    <x v="89"/>
    <s v="M"/>
    <x v="2"/>
    <x v="0"/>
    <x v="0"/>
    <x v="3"/>
    <x v="3"/>
    <x v="12"/>
    <x v="1"/>
  </r>
  <r>
    <x v="2385"/>
    <x v="6"/>
    <x v="1"/>
    <n v="56.5"/>
    <n v="113"/>
    <x v="87"/>
    <x v="92"/>
    <s v="M"/>
    <x v="1"/>
    <x v="1"/>
    <x v="0"/>
    <x v="3"/>
    <x v="5"/>
    <x v="12"/>
    <x v="1"/>
  </r>
  <r>
    <x v="2386"/>
    <x v="16"/>
    <x v="0"/>
    <n v="36.700000000000003"/>
    <n v="36.700000000000003"/>
    <x v="87"/>
    <x v="89"/>
    <s v="F"/>
    <x v="0"/>
    <x v="2"/>
    <x v="0"/>
    <x v="3"/>
    <x v="3"/>
    <x v="12"/>
    <x v="2"/>
  </r>
  <r>
    <x v="2387"/>
    <x v="2"/>
    <x v="12"/>
    <n v="103.6"/>
    <n v="414.4"/>
    <x v="87"/>
    <x v="91"/>
    <s v="M"/>
    <x v="4"/>
    <x v="2"/>
    <x v="0"/>
    <x v="3"/>
    <x v="11"/>
    <x v="12"/>
    <x v="1"/>
  </r>
  <r>
    <x v="2388"/>
    <x v="8"/>
    <x v="13"/>
    <n v="16.2"/>
    <n v="97.199999999999989"/>
    <x v="87"/>
    <x v="92"/>
    <s v="M"/>
    <x v="1"/>
    <x v="2"/>
    <x v="0"/>
    <x v="6"/>
    <x v="5"/>
    <x v="12"/>
    <x v="1"/>
  </r>
  <r>
    <x v="2389"/>
    <x v="8"/>
    <x v="1"/>
    <n v="20.2"/>
    <n v="40.4"/>
    <x v="87"/>
    <x v="89"/>
    <s v="F"/>
    <x v="0"/>
    <x v="0"/>
    <x v="0"/>
    <x v="6"/>
    <x v="3"/>
    <x v="12"/>
    <x v="2"/>
  </r>
  <r>
    <x v="2390"/>
    <x v="11"/>
    <x v="1"/>
    <n v="26.9"/>
    <n v="53.8"/>
    <x v="87"/>
    <x v="88"/>
    <s v="F"/>
    <x v="2"/>
    <x v="0"/>
    <x v="0"/>
    <x v="6"/>
    <x v="1"/>
    <x v="12"/>
    <x v="2"/>
  </r>
  <r>
    <x v="2391"/>
    <x v="1"/>
    <x v="1"/>
    <n v="82.4"/>
    <n v="164.8"/>
    <x v="87"/>
    <x v="84"/>
    <s v=""/>
    <x v="0"/>
    <x v="0"/>
    <x v="0"/>
    <x v="7"/>
    <x v="2"/>
    <x v="12"/>
    <x v="0"/>
  </r>
  <r>
    <x v="2392"/>
    <x v="2"/>
    <x v="1"/>
    <n v="117.8"/>
    <n v="235.6"/>
    <x v="87"/>
    <x v="88"/>
    <s v="M"/>
    <x v="1"/>
    <x v="2"/>
    <x v="0"/>
    <x v="8"/>
    <x v="1"/>
    <x v="12"/>
    <x v="1"/>
  </r>
  <r>
    <x v="2393"/>
    <x v="11"/>
    <x v="12"/>
    <n v="36.700000000000003"/>
    <n v="146.80000000000001"/>
    <x v="87"/>
    <x v="89"/>
    <s v="M"/>
    <x v="1"/>
    <x v="0"/>
    <x v="0"/>
    <x v="8"/>
    <x v="3"/>
    <x v="12"/>
    <x v="1"/>
  </r>
  <r>
    <x v="2394"/>
    <x v="17"/>
    <x v="2"/>
    <n v="46.8"/>
    <n v="140.39999999999998"/>
    <x v="87"/>
    <x v="89"/>
    <s v="M"/>
    <x v="4"/>
    <x v="2"/>
    <x v="0"/>
    <x v="10"/>
    <x v="3"/>
    <x v="12"/>
    <x v="1"/>
  </r>
  <r>
    <x v="2395"/>
    <x v="3"/>
    <x v="0"/>
    <n v="61.4"/>
    <n v="61.4"/>
    <x v="87"/>
    <x v="89"/>
    <s v="M"/>
    <x v="1"/>
    <x v="0"/>
    <x v="0"/>
    <x v="10"/>
    <x v="3"/>
    <x v="12"/>
    <x v="1"/>
  </r>
  <r>
    <x v="2396"/>
    <x v="15"/>
    <x v="1"/>
    <n v="22.9"/>
    <n v="45.8"/>
    <x v="87"/>
    <x v="89"/>
    <s v="M"/>
    <x v="0"/>
    <x v="0"/>
    <x v="0"/>
    <x v="11"/>
    <x v="3"/>
    <x v="12"/>
    <x v="1"/>
  </r>
  <r>
    <x v="2397"/>
    <x v="10"/>
    <x v="1"/>
    <n v="22.1"/>
    <n v="44.2"/>
    <x v="87"/>
    <x v="89"/>
    <s v="F"/>
    <x v="4"/>
    <x v="0"/>
    <x v="0"/>
    <x v="11"/>
    <x v="3"/>
    <x v="12"/>
    <x v="2"/>
  </r>
  <r>
    <x v="2398"/>
    <x v="12"/>
    <x v="1"/>
    <n v="31"/>
    <n v="62"/>
    <x v="87"/>
    <x v="88"/>
    <s v="F"/>
    <x v="2"/>
    <x v="0"/>
    <x v="0"/>
    <x v="18"/>
    <x v="1"/>
    <x v="12"/>
    <x v="2"/>
  </r>
  <r>
    <x v="2399"/>
    <x v="18"/>
    <x v="1"/>
    <n v="84.2"/>
    <n v="168.4"/>
    <x v="87"/>
    <x v="88"/>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DA341-7925-426C-A786-F25F154142CA}" name="don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38:F43" firstHeaderRow="1"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5">
    <chartFormat chart="6"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2">
          <reference field="4294967294" count="1" selected="0">
            <x v="0"/>
          </reference>
          <reference field="14" count="1" selected="0">
            <x v="1"/>
          </reference>
        </references>
      </pivotArea>
    </chartFormat>
    <chartFormat chart="16" format="4" series="1">
      <pivotArea type="data" outline="0" fieldPosition="0">
        <references count="2">
          <reference field="4294967294" count="1" selected="0">
            <x v="0"/>
          </reference>
          <reference field="14" count="1" selected="0">
            <x v="2"/>
          </reference>
        </references>
      </pivotArea>
    </chartFormat>
    <chartFormat chart="16" format="5" series="1">
      <pivotArea type="data" outline="0" fieldPosition="0">
        <references count="2">
          <reference field="4294967294" count="1" selected="0">
            <x v="0"/>
          </reference>
          <reference field="14" count="1" selected="0">
            <x v="3"/>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2"/>
          </reference>
        </references>
      </pivotArea>
    </chartFormat>
    <chartFormat chart="14" format="3" series="1">
      <pivotArea type="data" outline="0" fieldPosition="0">
        <references count="2">
          <reference field="4294967294" count="1" selected="0">
            <x v="0"/>
          </reference>
          <reference field="14" count="1" selected="0">
            <x v="3"/>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4" count="1" selected="0">
            <x v="0"/>
          </reference>
        </references>
      </pivotArea>
    </chartFormat>
    <chartFormat chart="24" format="8">
      <pivotArea type="data" outline="0" fieldPosition="0">
        <references count="2">
          <reference field="4294967294" count="1" selected="0">
            <x v="0"/>
          </reference>
          <reference field="14" count="1" selected="0">
            <x v="1"/>
          </reference>
        </references>
      </pivotArea>
    </chartFormat>
    <chartFormat chart="24" format="9">
      <pivotArea type="data" outline="0" fieldPosition="0">
        <references count="2">
          <reference field="4294967294" count="1" selected="0">
            <x v="0"/>
          </reference>
          <reference field="14" count="1" selected="0">
            <x v="2"/>
          </reference>
        </references>
      </pivotArea>
    </chartFormat>
    <chartFormat chart="24"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283AE-58AE-4FA6-9B70-232068E061BC}" name="aty am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C24" firstHeaderRow="0"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6">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F1468B-E741-48FD-A69C-A3A0F30756EC}" name="customer satifica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F118:L123" firstHeaderRow="1" firstDataRow="2" firstDataCol="1"/>
  <pivotFields count="20">
    <pivotField dataField="1"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extLst>
        <ext xmlns:x14="http://schemas.microsoft.com/office/spreadsheetml/2009/9/main" uri="{2946ED86-A175-432a-8AC1-64E0C546D7DE}">
          <x14:pivotField fillDownLabels="1"/>
        </ext>
      </extLst>
    </pivotField>
    <pivotField compact="0" outline="0" showAll="0">
      <items count="21">
        <item x="14"/>
        <item x="10"/>
        <item x="12"/>
        <item x="15"/>
        <item x="4"/>
        <item x="7"/>
        <item x="6"/>
        <item x="19"/>
        <item x="18"/>
        <item x="11"/>
        <item x="17"/>
        <item x="5"/>
        <item x="0"/>
        <item x="2"/>
        <item x="9"/>
        <item x="16"/>
        <item x="1"/>
        <item x="13"/>
        <item x="8"/>
        <item x="3"/>
        <item t="default"/>
      </items>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axis="axisCol" compact="0" outline="0" showAll="0">
      <items count="6">
        <item x="3"/>
        <item x="4"/>
        <item x="1"/>
        <item x="0"/>
        <item x="2"/>
        <item t="default"/>
      </items>
      <extLst>
        <ext xmlns:x14="http://schemas.microsoft.com/office/spreadsheetml/2009/9/main" uri="{2946ED86-A175-432a-8AC1-64E0C546D7DE}">
          <x14:pivotField fillDownLabels="1"/>
        </ext>
      </extLst>
    </pivotField>
    <pivotField compact="0" outline="0" showAll="0">
      <items count="2">
        <item x="0"/>
        <item t="default"/>
      </items>
      <extLst>
        <ext xmlns:x14="http://schemas.microsoft.com/office/spreadsheetml/2009/9/main" uri="{2946ED86-A175-432a-8AC1-64E0C546D7DE}">
          <x14:pivotField fillDownLabels="1"/>
        </ext>
      </extLst>
    </pivotField>
    <pivotField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0"/>
        <item x="1"/>
        <item x="2"/>
        <item x="3"/>
        <item x="4"/>
        <item x="5"/>
        <item x="6"/>
        <item x="7"/>
        <item x="8"/>
        <item x="9"/>
        <item x="10"/>
        <item x="11"/>
        <item x="12"/>
        <item t="default"/>
      </items>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8">
        <item x="0"/>
        <item x="1"/>
        <item x="2"/>
        <item x="4"/>
        <item x="3"/>
        <item x="5"/>
        <item x="6"/>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extLst>
        <ext xmlns:x14="http://schemas.microsoft.com/office/spreadsheetml/2009/9/main" uri="{2946ED86-A175-432a-8AC1-64E0C546D7DE}">
          <x14:pivotField fillDownLabels="1"/>
        </ext>
      </extLst>
    </pivotField>
    <pivotField axis="axisRow"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s>
  <rowFields count="1">
    <field x="19"/>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5" format="19" series="1">
      <pivotArea type="data" outline="0" fieldPosition="0">
        <references count="2">
          <reference field="4294967294" count="1" selected="0">
            <x v="0"/>
          </reference>
          <reference field="9" count="1" selected="0">
            <x v="0"/>
          </reference>
        </references>
      </pivotArea>
    </chartFormat>
    <chartFormat chart="25" format="20" series="1">
      <pivotArea type="data" outline="0" fieldPosition="0">
        <references count="2">
          <reference field="4294967294" count="1" selected="0">
            <x v="0"/>
          </reference>
          <reference field="9" count="1" selected="0">
            <x v="1"/>
          </reference>
        </references>
      </pivotArea>
    </chartFormat>
    <chartFormat chart="25" format="21" series="1">
      <pivotArea type="data" outline="0" fieldPosition="0">
        <references count="2">
          <reference field="4294967294" count="1" selected="0">
            <x v="0"/>
          </reference>
          <reference field="9" count="1" selected="0">
            <x v="2"/>
          </reference>
        </references>
      </pivotArea>
    </chartFormat>
    <chartFormat chart="25" format="22" series="1">
      <pivotArea type="data" outline="0" fieldPosition="0">
        <references count="2">
          <reference field="4294967294" count="1" selected="0">
            <x v="0"/>
          </reference>
          <reference field="9" count="1" selected="0">
            <x v="3"/>
          </reference>
        </references>
      </pivotArea>
    </chartFormat>
    <chartFormat chart="25" format="23"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ABC29B-0A51-4035-9536-DD187D41C6CE}" name="order aty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0:B38" firstHeaderRow="1" firstDataRow="1" firstDataCol="1"/>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CCE125-9689-4422-AA1F-68C0AF34BCD6}" name="Pivo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46E91C-3681-49C4-9801-633537975EDC}" name="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49:D109" firstHeaderRow="0" firstDataRow="1" firstDataCol="2"/>
  <pivotFields count="20">
    <pivotField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extLst>
        <ext xmlns:x14="http://schemas.microsoft.com/office/spreadsheetml/2009/9/main" uri="{2946ED86-A175-432a-8AC1-64E0C546D7DE}">
          <x14:pivotField fillDownLabels="1"/>
        </ext>
      </extLst>
    </pivotField>
    <pivotField compact="0" outline="0" showAll="0">
      <items count="21">
        <item x="14"/>
        <item x="10"/>
        <item x="12"/>
        <item x="15"/>
        <item x="4"/>
        <item x="7"/>
        <item x="6"/>
        <item x="19"/>
        <item x="18"/>
        <item x="11"/>
        <item x="17"/>
        <item x="5"/>
        <item x="0"/>
        <item x="2"/>
        <item x="9"/>
        <item x="16"/>
        <item x="1"/>
        <item x="13"/>
        <item x="8"/>
        <item x="3"/>
        <item t="default"/>
      </items>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0"/>
        <item x="1"/>
        <item x="2"/>
        <item x="3"/>
        <item x="4"/>
        <item x="5"/>
        <item x="6"/>
        <item x="7"/>
        <item x="8"/>
        <item x="9"/>
        <item x="10"/>
        <item x="11"/>
        <item x="12"/>
        <item t="default"/>
      </items>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8">
        <item x="0"/>
        <item x="1"/>
        <item x="2"/>
        <item x="4"/>
        <item x="3"/>
        <item x="5"/>
        <item x="6"/>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CAB6AC-AA9E-4CFA-9E43-AD646E1FAA2E}" name="shipment 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14:B130" firstHeaderRow="1" firstDataRow="1"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dataField="1"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Days (Ship Date)" fld="16" subtotal="count"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A82225-B69B-423B-84D4-CD8F823AE5A5}" name="qty and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0:J32" firstHeaderRow="1" firstDataRow="2" firstDataCol="1"/>
  <pivotFields count="20">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7">
    <chartFormat chart="6"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2">
          <reference field="4294967294" count="1" selected="0">
            <x v="0"/>
          </reference>
          <reference field="14" count="1" selected="0">
            <x v="1"/>
          </reference>
        </references>
      </pivotArea>
    </chartFormat>
    <chartFormat chart="16" format="4" series="1">
      <pivotArea type="data" outline="0" fieldPosition="0">
        <references count="2">
          <reference field="4294967294" count="1" selected="0">
            <x v="0"/>
          </reference>
          <reference field="14" count="1" selected="0">
            <x v="2"/>
          </reference>
        </references>
      </pivotArea>
    </chartFormat>
    <chartFormat chart="16" format="5" series="1">
      <pivotArea type="data" outline="0" fieldPosition="0">
        <references count="2">
          <reference field="4294967294" count="1" selected="0">
            <x v="0"/>
          </reference>
          <reference field="14" count="1" selected="0">
            <x v="3"/>
          </reference>
        </references>
      </pivotArea>
    </chartFormat>
    <chartFormat chart="16" format="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D414D6-23B7-43D9-A7E0-832401BA93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3">
    <format dxfId="7">
      <pivotArea field="8" type="button" dataOnly="0" labelOnly="1" outline="0" axis="axisRow" fieldPosition="0"/>
    </format>
    <format dxfId="6">
      <pivotArea dataOnly="0" labelOnly="1" fieldPosition="0">
        <references count="1">
          <reference field="14" count="0"/>
        </references>
      </pivotArea>
    </format>
    <format dxfId="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8F3C00E-EC28-48B2-B23F-1F1878699DC6}" sourceName="Order Mode">
  <pivotTables>
    <pivotTable tabId="7" name="customer satification"/>
    <pivotTable tabId="7" name="aty amt"/>
    <pivotTable tabId="7" name="map"/>
    <pivotTable tabId="7" name="Pivotsummary"/>
    <pivotTable tabId="7" name="shipment duration"/>
    <pivotTable tabId="7" name="donot"/>
    <pivotTable tabId="7" name="qty and gender"/>
    <pivotTable tabId="7" name="order aty analysis"/>
  </pivotTables>
  <data>
    <tabular pivotCacheId="1626802195">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563D2F5-E911-4BB7-878B-AB7ADF8AD7DA}" sourceName="Gender Value">
  <pivotTables>
    <pivotTable tabId="7" name="customer satification"/>
    <pivotTable tabId="7" name="aty amt"/>
    <pivotTable tabId="7" name="map"/>
    <pivotTable tabId="7" name="Pivotsummary"/>
    <pivotTable tabId="7" name="shipment duration"/>
    <pivotTable tabId="7" name="order aty analysis"/>
  </pivotTables>
  <data>
    <tabular pivotCacheId="1626802195">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3F9DFDC-E0F7-4733-9BAC-6A43BFE5AFBF}" cache="Slicer_Order_Mode" caption="Order Mode" rowHeight="247650"/>
  <slicer name="Gender Value" xr10:uid="{504CFF25-9EE6-423B-A438-1672553B2D2B}"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000000"/>
      </a:accent1>
      <a:accent2>
        <a:srgbClr val="9FBFAD"/>
      </a:accent2>
      <a:accent3>
        <a:srgbClr val="748C76"/>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9A35-98D4-43B9-971F-C0886D20D335}">
  <dimension ref="A2:M130"/>
  <sheetViews>
    <sheetView zoomScaleNormal="44" workbookViewId="0">
      <selection activeCell="C16" sqref="C16"/>
    </sheetView>
  </sheetViews>
  <sheetFormatPr defaultRowHeight="14.4" x14ac:dyDescent="0.3"/>
  <cols>
    <col min="1" max="1" width="12.44140625" bestFit="1" customWidth="1"/>
    <col min="2" max="2" width="12.21875" bestFit="1" customWidth="1"/>
    <col min="3" max="3" width="13.5546875" bestFit="1" customWidth="1"/>
    <col min="4" max="4" width="16.6640625" bestFit="1" customWidth="1"/>
    <col min="5" max="5" width="19.109375" bestFit="1" customWidth="1"/>
    <col min="6" max="6" width="15.5546875" bestFit="1" customWidth="1"/>
    <col min="7" max="7" width="5" bestFit="1" customWidth="1"/>
    <col min="8" max="8" width="5.6640625" bestFit="1" customWidth="1"/>
    <col min="9" max="9" width="8.5546875" bestFit="1" customWidth="1"/>
    <col min="10" max="10" width="10.5546875" bestFit="1" customWidth="1"/>
    <col min="11" max="11" width="10" bestFit="1" customWidth="1"/>
    <col min="12" max="12" width="10.5546875" bestFit="1" customWidth="1"/>
    <col min="13" max="13" width="23.109375" bestFit="1" customWidth="1"/>
    <col min="14" max="14" width="20.6640625" bestFit="1" customWidth="1"/>
    <col min="15" max="15" width="14.6640625" bestFit="1" customWidth="1"/>
    <col min="16" max="16" width="14.109375" bestFit="1" customWidth="1"/>
    <col min="17" max="24" width="17.33203125" bestFit="1" customWidth="1"/>
    <col min="25" max="25" width="19.21875" bestFit="1" customWidth="1"/>
    <col min="26" max="26" width="18.77734375" bestFit="1" customWidth="1"/>
    <col min="27" max="28" width="19.77734375" bestFit="1" customWidth="1"/>
  </cols>
  <sheetData>
    <row r="2" spans="1:11" x14ac:dyDescent="0.3">
      <c r="A2" t="s">
        <v>2549</v>
      </c>
      <c r="G2" t="s">
        <v>2526</v>
      </c>
    </row>
    <row r="3" spans="1:11" x14ac:dyDescent="0.3">
      <c r="A3" t="s">
        <v>2519</v>
      </c>
      <c r="B3" t="s">
        <v>2520</v>
      </c>
      <c r="C3" t="s">
        <v>2521</v>
      </c>
      <c r="D3" t="s">
        <v>2525</v>
      </c>
      <c r="E3" t="s">
        <v>2522</v>
      </c>
      <c r="G3" t="s">
        <v>2518</v>
      </c>
      <c r="H3" t="s">
        <v>2527</v>
      </c>
      <c r="I3" t="s">
        <v>4</v>
      </c>
      <c r="J3" t="s">
        <v>2528</v>
      </c>
      <c r="K3" t="s">
        <v>2529</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8" spans="1:11" x14ac:dyDescent="0.3">
      <c r="A8" t="s">
        <v>2550</v>
      </c>
      <c r="E8" t="s">
        <v>2551</v>
      </c>
    </row>
    <row r="10" spans="1:11" x14ac:dyDescent="0.3">
      <c r="A10" s="5" t="s">
        <v>2523</v>
      </c>
      <c r="B10" t="s">
        <v>2520</v>
      </c>
      <c r="C10" t="s">
        <v>2521</v>
      </c>
      <c r="E10" s="5" t="s">
        <v>2520</v>
      </c>
      <c r="F10" s="5" t="s">
        <v>2530</v>
      </c>
    </row>
    <row r="11" spans="1:11" x14ac:dyDescent="0.3">
      <c r="A11" s="6">
        <v>1</v>
      </c>
      <c r="B11">
        <v>546</v>
      </c>
      <c r="C11">
        <v>32413.300000000003</v>
      </c>
      <c r="E11" s="5" t="s">
        <v>2523</v>
      </c>
      <c r="F11" t="s">
        <v>2531</v>
      </c>
      <c r="G11" t="s">
        <v>2532</v>
      </c>
      <c r="H11" t="s">
        <v>2533</v>
      </c>
      <c r="I11" t="s">
        <v>2534</v>
      </c>
      <c r="J11" t="s">
        <v>2524</v>
      </c>
    </row>
    <row r="12" spans="1:11" x14ac:dyDescent="0.3">
      <c r="A12" s="6">
        <v>2</v>
      </c>
      <c r="B12">
        <v>905</v>
      </c>
      <c r="C12">
        <v>49562.999999999993</v>
      </c>
      <c r="E12" s="6" t="s">
        <v>44</v>
      </c>
      <c r="F12">
        <v>744</v>
      </c>
      <c r="G12">
        <v>713</v>
      </c>
      <c r="H12">
        <v>90</v>
      </c>
      <c r="I12">
        <v>98</v>
      </c>
      <c r="J12">
        <v>1645</v>
      </c>
    </row>
    <row r="13" spans="1:11" x14ac:dyDescent="0.3">
      <c r="A13" s="6">
        <v>3</v>
      </c>
      <c r="B13">
        <v>796</v>
      </c>
      <c r="C13">
        <v>41700.400000000016</v>
      </c>
      <c r="E13" s="6" t="s">
        <v>39</v>
      </c>
      <c r="F13">
        <v>716</v>
      </c>
      <c r="G13">
        <v>598</v>
      </c>
      <c r="H13">
        <v>18</v>
      </c>
      <c r="I13">
        <v>214</v>
      </c>
      <c r="J13">
        <v>1546</v>
      </c>
    </row>
    <row r="14" spans="1:11" x14ac:dyDescent="0.3">
      <c r="A14" s="6">
        <v>4</v>
      </c>
      <c r="B14">
        <v>913</v>
      </c>
      <c r="C14">
        <v>46782.599999999984</v>
      </c>
      <c r="E14" s="6" t="s">
        <v>26</v>
      </c>
      <c r="F14">
        <v>627</v>
      </c>
      <c r="G14">
        <v>393</v>
      </c>
      <c r="H14">
        <v>29</v>
      </c>
      <c r="I14">
        <v>137</v>
      </c>
      <c r="J14">
        <v>1186</v>
      </c>
    </row>
    <row r="15" spans="1:11" x14ac:dyDescent="0.3">
      <c r="A15" s="6">
        <v>5</v>
      </c>
      <c r="B15">
        <v>844</v>
      </c>
      <c r="C15">
        <v>42676.100000000006</v>
      </c>
      <c r="E15" s="6" t="s">
        <v>22</v>
      </c>
      <c r="F15">
        <v>568</v>
      </c>
      <c r="G15">
        <v>306</v>
      </c>
      <c r="H15">
        <v>22</v>
      </c>
      <c r="I15">
        <v>16</v>
      </c>
      <c r="J15">
        <v>912</v>
      </c>
    </row>
    <row r="16" spans="1:11" x14ac:dyDescent="0.3">
      <c r="A16" s="6">
        <v>6</v>
      </c>
      <c r="B16">
        <v>1202</v>
      </c>
      <c r="C16">
        <v>62910.7</v>
      </c>
      <c r="E16" s="6" t="s">
        <v>54</v>
      </c>
      <c r="F16">
        <v>482</v>
      </c>
      <c r="G16">
        <v>295</v>
      </c>
      <c r="H16">
        <v>8</v>
      </c>
      <c r="I16">
        <v>22</v>
      </c>
      <c r="J16">
        <v>807</v>
      </c>
    </row>
    <row r="17" spans="1:10" x14ac:dyDescent="0.3">
      <c r="A17" s="6">
        <v>7</v>
      </c>
      <c r="B17">
        <v>935</v>
      </c>
      <c r="C17">
        <v>50332.200000000004</v>
      </c>
      <c r="E17" s="6" t="s">
        <v>16</v>
      </c>
      <c r="F17">
        <v>428</v>
      </c>
      <c r="G17">
        <v>293</v>
      </c>
      <c r="I17">
        <v>24</v>
      </c>
      <c r="J17">
        <v>745</v>
      </c>
    </row>
    <row r="18" spans="1:10" x14ac:dyDescent="0.3">
      <c r="A18" s="6">
        <v>8</v>
      </c>
      <c r="B18">
        <v>1128</v>
      </c>
      <c r="C18">
        <v>58760.599999999977</v>
      </c>
      <c r="E18" s="6" t="s">
        <v>46</v>
      </c>
      <c r="F18">
        <v>445</v>
      </c>
      <c r="G18">
        <v>202</v>
      </c>
      <c r="H18">
        <v>14</v>
      </c>
      <c r="I18">
        <v>39</v>
      </c>
      <c r="J18">
        <v>700</v>
      </c>
    </row>
    <row r="19" spans="1:10" x14ac:dyDescent="0.3">
      <c r="A19" s="6">
        <v>9</v>
      </c>
      <c r="B19">
        <v>1007</v>
      </c>
      <c r="C19">
        <v>52017.299999999996</v>
      </c>
      <c r="E19" s="6" t="s">
        <v>32</v>
      </c>
      <c r="F19">
        <v>431</v>
      </c>
      <c r="G19">
        <v>187</v>
      </c>
      <c r="H19">
        <v>14</v>
      </c>
      <c r="I19">
        <v>15</v>
      </c>
      <c r="J19">
        <v>647</v>
      </c>
    </row>
    <row r="20" spans="1:10" x14ac:dyDescent="0.3">
      <c r="A20" s="6">
        <v>10</v>
      </c>
      <c r="B20">
        <v>1128</v>
      </c>
      <c r="C20">
        <v>64915.700000000033</v>
      </c>
      <c r="E20" s="6" t="s">
        <v>42</v>
      </c>
      <c r="F20">
        <v>264</v>
      </c>
      <c r="G20">
        <v>318</v>
      </c>
      <c r="H20">
        <v>15</v>
      </c>
      <c r="I20">
        <v>9</v>
      </c>
      <c r="J20">
        <v>606</v>
      </c>
    </row>
    <row r="21" spans="1:10" x14ac:dyDescent="0.3">
      <c r="A21" s="6">
        <v>11</v>
      </c>
      <c r="B21">
        <v>861</v>
      </c>
      <c r="C21">
        <v>45943.80000000001</v>
      </c>
      <c r="E21" s="6" t="s">
        <v>37</v>
      </c>
      <c r="F21">
        <v>296</v>
      </c>
      <c r="G21">
        <v>275</v>
      </c>
      <c r="H21">
        <v>9</v>
      </c>
      <c r="I21">
        <v>23</v>
      </c>
      <c r="J21">
        <v>603</v>
      </c>
    </row>
    <row r="22" spans="1:10" x14ac:dyDescent="0.3">
      <c r="A22" s="6">
        <v>12</v>
      </c>
      <c r="B22">
        <v>944</v>
      </c>
      <c r="C22">
        <v>55077.900000000031</v>
      </c>
      <c r="E22" s="6" t="s">
        <v>123</v>
      </c>
      <c r="F22">
        <v>153</v>
      </c>
      <c r="G22">
        <v>246</v>
      </c>
      <c r="H22">
        <v>30</v>
      </c>
      <c r="I22">
        <v>8</v>
      </c>
      <c r="J22">
        <v>437</v>
      </c>
    </row>
    <row r="23" spans="1:10" x14ac:dyDescent="0.3">
      <c r="A23" s="6">
        <v>13</v>
      </c>
      <c r="B23">
        <v>788</v>
      </c>
      <c r="C23">
        <v>45926.19999999999</v>
      </c>
      <c r="E23" s="6" t="s">
        <v>146</v>
      </c>
      <c r="F23">
        <v>189</v>
      </c>
      <c r="G23">
        <v>168</v>
      </c>
      <c r="H23">
        <v>10</v>
      </c>
      <c r="I23">
        <v>31</v>
      </c>
      <c r="J23">
        <v>398</v>
      </c>
    </row>
    <row r="24" spans="1:10" x14ac:dyDescent="0.3">
      <c r="A24" s="6" t="s">
        <v>2524</v>
      </c>
      <c r="B24">
        <v>11997</v>
      </c>
      <c r="C24">
        <v>649019.79999999993</v>
      </c>
      <c r="E24" s="6" t="s">
        <v>69</v>
      </c>
      <c r="F24">
        <v>234</v>
      </c>
      <c r="G24">
        <v>93</v>
      </c>
      <c r="H24">
        <v>19</v>
      </c>
      <c r="I24">
        <v>24</v>
      </c>
      <c r="J24">
        <v>370</v>
      </c>
    </row>
    <row r="25" spans="1:10" x14ac:dyDescent="0.3">
      <c r="E25" s="6" t="s">
        <v>30</v>
      </c>
      <c r="F25">
        <v>146</v>
      </c>
      <c r="G25">
        <v>94</v>
      </c>
      <c r="H25">
        <v>4</v>
      </c>
      <c r="I25">
        <v>28</v>
      </c>
      <c r="J25">
        <v>272</v>
      </c>
    </row>
    <row r="26" spans="1:10" x14ac:dyDescent="0.3">
      <c r="E26" s="6" t="s">
        <v>135</v>
      </c>
      <c r="F26">
        <v>127</v>
      </c>
      <c r="G26">
        <v>118</v>
      </c>
      <c r="H26">
        <v>13</v>
      </c>
      <c r="I26">
        <v>12</v>
      </c>
      <c r="J26">
        <v>270</v>
      </c>
    </row>
    <row r="27" spans="1:10" x14ac:dyDescent="0.3">
      <c r="E27" s="6" t="s">
        <v>67</v>
      </c>
      <c r="F27">
        <v>179</v>
      </c>
      <c r="G27">
        <v>76</v>
      </c>
      <c r="H27">
        <v>3</v>
      </c>
      <c r="J27">
        <v>258</v>
      </c>
    </row>
    <row r="28" spans="1:10" x14ac:dyDescent="0.3">
      <c r="A28" t="s">
        <v>2536</v>
      </c>
      <c r="E28" s="6" t="s">
        <v>128</v>
      </c>
      <c r="F28">
        <v>99</v>
      </c>
      <c r="G28">
        <v>69</v>
      </c>
      <c r="H28">
        <v>3</v>
      </c>
      <c r="I28">
        <v>24</v>
      </c>
      <c r="J28">
        <v>195</v>
      </c>
    </row>
    <row r="29" spans="1:10" x14ac:dyDescent="0.3">
      <c r="E29" s="6" t="s">
        <v>76</v>
      </c>
      <c r="F29">
        <v>75</v>
      </c>
      <c r="G29">
        <v>103</v>
      </c>
      <c r="H29">
        <v>4</v>
      </c>
      <c r="I29">
        <v>6</v>
      </c>
      <c r="J29">
        <v>188</v>
      </c>
    </row>
    <row r="30" spans="1:10" x14ac:dyDescent="0.3">
      <c r="A30" s="5" t="s">
        <v>2523</v>
      </c>
      <c r="B30" t="s">
        <v>2519</v>
      </c>
      <c r="E30" s="6" t="s">
        <v>81</v>
      </c>
      <c r="F30">
        <v>43</v>
      </c>
      <c r="G30">
        <v>90</v>
      </c>
      <c r="H30">
        <v>8</v>
      </c>
      <c r="I30">
        <v>6</v>
      </c>
      <c r="J30">
        <v>147</v>
      </c>
    </row>
    <row r="31" spans="1:10" x14ac:dyDescent="0.3">
      <c r="A31" s="6">
        <v>1</v>
      </c>
      <c r="B31">
        <v>397</v>
      </c>
      <c r="E31" s="6" t="s">
        <v>171</v>
      </c>
      <c r="F31">
        <v>26</v>
      </c>
      <c r="G31">
        <v>35</v>
      </c>
      <c r="H31">
        <v>4</v>
      </c>
      <c r="J31">
        <v>65</v>
      </c>
    </row>
    <row r="32" spans="1:10" x14ac:dyDescent="0.3">
      <c r="A32" s="6">
        <v>2</v>
      </c>
      <c r="B32">
        <v>540</v>
      </c>
      <c r="E32" s="6" t="s">
        <v>2524</v>
      </c>
      <c r="F32">
        <v>6272</v>
      </c>
      <c r="G32">
        <v>4672</v>
      </c>
      <c r="H32">
        <v>317</v>
      </c>
      <c r="I32">
        <v>736</v>
      </c>
      <c r="J32">
        <v>11997</v>
      </c>
    </row>
    <row r="33" spans="1:11" x14ac:dyDescent="0.3">
      <c r="A33" s="6">
        <v>3</v>
      </c>
      <c r="B33">
        <v>375</v>
      </c>
    </row>
    <row r="34" spans="1:11" x14ac:dyDescent="0.3">
      <c r="A34" s="6">
        <v>4</v>
      </c>
      <c r="B34">
        <v>246</v>
      </c>
    </row>
    <row r="35" spans="1:11" x14ac:dyDescent="0.3">
      <c r="A35" s="6">
        <v>5</v>
      </c>
      <c r="B35">
        <v>195</v>
      </c>
    </row>
    <row r="36" spans="1:11" x14ac:dyDescent="0.3">
      <c r="A36" s="6" t="s">
        <v>2537</v>
      </c>
      <c r="B36">
        <v>414</v>
      </c>
      <c r="E36" t="s">
        <v>2551</v>
      </c>
    </row>
    <row r="37" spans="1:11" x14ac:dyDescent="0.3">
      <c r="A37" s="6" t="s">
        <v>2538</v>
      </c>
      <c r="B37">
        <v>233</v>
      </c>
    </row>
    <row r="38" spans="1:11" x14ac:dyDescent="0.3">
      <c r="A38" s="6" t="s">
        <v>2524</v>
      </c>
      <c r="B38">
        <v>2400</v>
      </c>
      <c r="E38" s="5" t="s">
        <v>2523</v>
      </c>
      <c r="F38" t="s">
        <v>2520</v>
      </c>
    </row>
    <row r="39" spans="1:11" x14ac:dyDescent="0.3">
      <c r="E39" s="6" t="s">
        <v>2531</v>
      </c>
      <c r="F39">
        <v>6272</v>
      </c>
    </row>
    <row r="40" spans="1:11" x14ac:dyDescent="0.3">
      <c r="E40" s="6" t="s">
        <v>2532</v>
      </c>
      <c r="F40">
        <v>4672</v>
      </c>
    </row>
    <row r="41" spans="1:11" x14ac:dyDescent="0.3">
      <c r="E41" s="6" t="s">
        <v>2533</v>
      </c>
      <c r="F41">
        <v>317</v>
      </c>
    </row>
    <row r="42" spans="1:11" x14ac:dyDescent="0.3">
      <c r="E42" s="6" t="s">
        <v>2534</v>
      </c>
      <c r="F42">
        <v>736</v>
      </c>
    </row>
    <row r="43" spans="1:11" x14ac:dyDescent="0.3">
      <c r="E43" s="6" t="s">
        <v>2524</v>
      </c>
      <c r="F43">
        <v>11997</v>
      </c>
    </row>
    <row r="47" spans="1:11" x14ac:dyDescent="0.3">
      <c r="A47" t="s">
        <v>2552</v>
      </c>
      <c r="F47" t="s">
        <v>2540</v>
      </c>
      <c r="K47" t="s">
        <v>2541</v>
      </c>
    </row>
    <row r="49" spans="1:13" x14ac:dyDescent="0.3">
      <c r="A49" s="5" t="s">
        <v>10</v>
      </c>
      <c r="B49" s="5" t="s">
        <v>11</v>
      </c>
      <c r="C49" t="s">
        <v>2520</v>
      </c>
      <c r="D49" t="s">
        <v>2521</v>
      </c>
      <c r="F49" t="str">
        <f>A49</f>
        <v>State</v>
      </c>
      <c r="G49" t="str">
        <f t="shared" ref="G49:H49" si="1">B49</f>
        <v>County</v>
      </c>
      <c r="H49" t="str">
        <f t="shared" si="1"/>
        <v>Sum of Quantity</v>
      </c>
      <c r="K49" t="str">
        <f>A49</f>
        <v>State</v>
      </c>
      <c r="L49" t="str">
        <f>B49</f>
        <v>County</v>
      </c>
      <c r="M49" t="str">
        <f>D49</f>
        <v>Sum of Amount</v>
      </c>
    </row>
    <row r="50" spans="1:13" x14ac:dyDescent="0.3">
      <c r="A50" t="s">
        <v>19</v>
      </c>
      <c r="B50" t="s">
        <v>115</v>
      </c>
      <c r="C50">
        <v>579</v>
      </c>
      <c r="D50">
        <v>31884.999999999996</v>
      </c>
      <c r="F50" t="str">
        <f t="shared" ref="F50:F68" si="2">A50</f>
        <v>California</v>
      </c>
      <c r="G50" t="str">
        <f t="shared" ref="G50:G68" si="3">B50</f>
        <v>Alameda County</v>
      </c>
      <c r="H50">
        <f t="shared" ref="H50:H68" si="4">C50</f>
        <v>579</v>
      </c>
      <c r="K50" t="str">
        <f t="shared" ref="K50:K107" si="5">A50</f>
        <v>California</v>
      </c>
      <c r="L50" t="str">
        <f t="shared" ref="L50:L107" si="6">B50</f>
        <v>Alameda County</v>
      </c>
      <c r="M50">
        <f t="shared" ref="M50:M107" si="7">D50</f>
        <v>31884.999999999996</v>
      </c>
    </row>
    <row r="51" spans="1:13" x14ac:dyDescent="0.3">
      <c r="A51" t="s">
        <v>19</v>
      </c>
      <c r="B51" t="s">
        <v>20</v>
      </c>
      <c r="C51">
        <v>1</v>
      </c>
      <c r="D51">
        <v>10.9</v>
      </c>
      <c r="F51" t="str">
        <f t="shared" si="2"/>
        <v>California</v>
      </c>
      <c r="G51" t="str">
        <f t="shared" si="3"/>
        <v>Alpine County</v>
      </c>
      <c r="H51">
        <f t="shared" si="4"/>
        <v>1</v>
      </c>
      <c r="K51" t="str">
        <f t="shared" si="5"/>
        <v>California</v>
      </c>
      <c r="L51" t="str">
        <f t="shared" si="6"/>
        <v>Alpine County</v>
      </c>
      <c r="M51">
        <f t="shared" si="7"/>
        <v>10.9</v>
      </c>
    </row>
    <row r="52" spans="1:13" x14ac:dyDescent="0.3">
      <c r="A52" t="s">
        <v>19</v>
      </c>
      <c r="B52" t="s">
        <v>641</v>
      </c>
      <c r="C52">
        <v>9</v>
      </c>
      <c r="D52">
        <v>800.3</v>
      </c>
      <c r="F52" t="str">
        <f t="shared" si="2"/>
        <v>California</v>
      </c>
      <c r="G52" t="str">
        <f t="shared" si="3"/>
        <v>Amador County</v>
      </c>
      <c r="H52">
        <f t="shared" si="4"/>
        <v>9</v>
      </c>
      <c r="K52" t="str">
        <f t="shared" si="5"/>
        <v>California</v>
      </c>
      <c r="L52" t="str">
        <f t="shared" si="6"/>
        <v>Amador County</v>
      </c>
      <c r="M52">
        <f t="shared" si="7"/>
        <v>800.3</v>
      </c>
    </row>
    <row r="53" spans="1:13" x14ac:dyDescent="0.3">
      <c r="A53" t="s">
        <v>19</v>
      </c>
      <c r="B53" t="s">
        <v>967</v>
      </c>
      <c r="C53">
        <v>35</v>
      </c>
      <c r="D53">
        <v>1062.5999999999999</v>
      </c>
      <c r="F53" t="str">
        <f t="shared" si="2"/>
        <v>California</v>
      </c>
      <c r="G53" t="str">
        <f t="shared" si="3"/>
        <v>Butte County</v>
      </c>
      <c r="H53">
        <f t="shared" si="4"/>
        <v>35</v>
      </c>
      <c r="K53" t="str">
        <f t="shared" si="5"/>
        <v>California</v>
      </c>
      <c r="L53" t="str">
        <f t="shared" si="6"/>
        <v>Butte County</v>
      </c>
      <c r="M53">
        <f t="shared" si="7"/>
        <v>1062.5999999999999</v>
      </c>
    </row>
    <row r="54" spans="1:13" x14ac:dyDescent="0.3">
      <c r="A54" t="s">
        <v>19</v>
      </c>
      <c r="B54" t="s">
        <v>84</v>
      </c>
      <c r="C54">
        <v>12</v>
      </c>
      <c r="D54">
        <v>326.20000000000005</v>
      </c>
      <c r="F54" t="str">
        <f t="shared" si="2"/>
        <v>California</v>
      </c>
      <c r="G54" t="str">
        <f t="shared" si="3"/>
        <v>Calaveras County</v>
      </c>
      <c r="H54">
        <f t="shared" si="4"/>
        <v>12</v>
      </c>
      <c r="K54" t="str">
        <f t="shared" si="5"/>
        <v>California</v>
      </c>
      <c r="L54" t="str">
        <f t="shared" si="6"/>
        <v>Calaveras County</v>
      </c>
      <c r="M54">
        <f t="shared" si="7"/>
        <v>326.20000000000005</v>
      </c>
    </row>
    <row r="55" spans="1:13" x14ac:dyDescent="0.3">
      <c r="A55" t="s">
        <v>19</v>
      </c>
      <c r="B55" t="s">
        <v>1383</v>
      </c>
      <c r="C55">
        <v>4</v>
      </c>
      <c r="D55">
        <v>167.5</v>
      </c>
      <c r="F55" t="str">
        <f t="shared" si="2"/>
        <v>California</v>
      </c>
      <c r="G55" t="str">
        <f t="shared" si="3"/>
        <v>Colusa County</v>
      </c>
      <c r="H55">
        <f t="shared" si="4"/>
        <v>4</v>
      </c>
      <c r="K55" t="str">
        <f t="shared" si="5"/>
        <v>California</v>
      </c>
      <c r="L55" t="str">
        <f t="shared" si="6"/>
        <v>Colusa County</v>
      </c>
      <c r="M55">
        <f t="shared" si="7"/>
        <v>167.5</v>
      </c>
    </row>
    <row r="56" spans="1:13" x14ac:dyDescent="0.3">
      <c r="A56" t="s">
        <v>19</v>
      </c>
      <c r="B56" t="s">
        <v>24</v>
      </c>
      <c r="C56">
        <v>341</v>
      </c>
      <c r="D56">
        <v>16168.7</v>
      </c>
      <c r="F56" t="str">
        <f t="shared" si="2"/>
        <v>California</v>
      </c>
      <c r="G56" t="str">
        <f t="shared" si="3"/>
        <v>Contra Costa County</v>
      </c>
      <c r="H56">
        <f t="shared" si="4"/>
        <v>341</v>
      </c>
      <c r="K56" t="str">
        <f t="shared" si="5"/>
        <v>California</v>
      </c>
      <c r="L56" t="str">
        <f t="shared" si="6"/>
        <v>Contra Costa County</v>
      </c>
      <c r="M56">
        <f t="shared" si="7"/>
        <v>16168.7</v>
      </c>
    </row>
    <row r="57" spans="1:13" x14ac:dyDescent="0.3">
      <c r="A57" t="s">
        <v>19</v>
      </c>
      <c r="B57" t="s">
        <v>2204</v>
      </c>
      <c r="C57">
        <v>13</v>
      </c>
      <c r="D57">
        <v>322.40000000000003</v>
      </c>
      <c r="F57" t="str">
        <f t="shared" si="2"/>
        <v>California</v>
      </c>
      <c r="G57" t="str">
        <f t="shared" si="3"/>
        <v>Del Norte County</v>
      </c>
      <c r="H57">
        <f t="shared" si="4"/>
        <v>13</v>
      </c>
      <c r="K57" t="str">
        <f t="shared" si="5"/>
        <v>California</v>
      </c>
      <c r="L57" t="str">
        <f t="shared" si="6"/>
        <v>Del Norte County</v>
      </c>
      <c r="M57">
        <f t="shared" si="7"/>
        <v>322.40000000000003</v>
      </c>
    </row>
    <row r="58" spans="1:13" x14ac:dyDescent="0.3">
      <c r="A58" t="s">
        <v>19</v>
      </c>
      <c r="B58" t="s">
        <v>437</v>
      </c>
      <c r="C58">
        <v>31</v>
      </c>
      <c r="D58">
        <v>2092.8000000000002</v>
      </c>
      <c r="F58" t="str">
        <f t="shared" si="2"/>
        <v>California</v>
      </c>
      <c r="G58" t="str">
        <f t="shared" si="3"/>
        <v>El Dorado County</v>
      </c>
      <c r="H58">
        <f t="shared" si="4"/>
        <v>31</v>
      </c>
      <c r="K58" t="str">
        <f t="shared" si="5"/>
        <v>California</v>
      </c>
      <c r="L58" t="str">
        <f t="shared" si="6"/>
        <v>El Dorado County</v>
      </c>
      <c r="M58">
        <f t="shared" si="7"/>
        <v>2092.8000000000002</v>
      </c>
    </row>
    <row r="59" spans="1:13" x14ac:dyDescent="0.3">
      <c r="A59" t="s">
        <v>19</v>
      </c>
      <c r="B59" t="s">
        <v>28</v>
      </c>
      <c r="C59">
        <v>279</v>
      </c>
      <c r="D59">
        <v>12662.500000000002</v>
      </c>
      <c r="F59" t="str">
        <f t="shared" si="2"/>
        <v>California</v>
      </c>
      <c r="G59" t="str">
        <f t="shared" si="3"/>
        <v>Fresno County</v>
      </c>
      <c r="H59">
        <f t="shared" si="4"/>
        <v>279</v>
      </c>
      <c r="K59" t="str">
        <f t="shared" si="5"/>
        <v>California</v>
      </c>
      <c r="L59" t="str">
        <f t="shared" si="6"/>
        <v>Fresno County</v>
      </c>
      <c r="M59">
        <f t="shared" si="7"/>
        <v>12662.500000000002</v>
      </c>
    </row>
    <row r="60" spans="1:13" x14ac:dyDescent="0.3">
      <c r="A60" t="s">
        <v>19</v>
      </c>
      <c r="B60" t="s">
        <v>208</v>
      </c>
      <c r="C60">
        <v>9</v>
      </c>
      <c r="D60">
        <v>343.2</v>
      </c>
      <c r="F60" t="str">
        <f t="shared" si="2"/>
        <v>California</v>
      </c>
      <c r="G60" t="str">
        <f t="shared" si="3"/>
        <v>Glenn County</v>
      </c>
      <c r="H60">
        <f t="shared" si="4"/>
        <v>9</v>
      </c>
      <c r="K60" t="str">
        <f t="shared" si="5"/>
        <v>California</v>
      </c>
      <c r="L60" t="str">
        <f t="shared" si="6"/>
        <v>Glenn County</v>
      </c>
      <c r="M60">
        <f t="shared" si="7"/>
        <v>343.2</v>
      </c>
    </row>
    <row r="61" spans="1:13" x14ac:dyDescent="0.3">
      <c r="A61" t="s">
        <v>19</v>
      </c>
      <c r="B61" t="s">
        <v>587</v>
      </c>
      <c r="C61">
        <v>49</v>
      </c>
      <c r="D61">
        <v>2188.2999999999997</v>
      </c>
      <c r="F61" t="str">
        <f t="shared" si="2"/>
        <v>California</v>
      </c>
      <c r="G61" t="str">
        <f t="shared" si="3"/>
        <v>Humboldt County</v>
      </c>
      <c r="H61">
        <f t="shared" si="4"/>
        <v>49</v>
      </c>
      <c r="K61" t="str">
        <f t="shared" si="5"/>
        <v>California</v>
      </c>
      <c r="L61" t="str">
        <f t="shared" si="6"/>
        <v>Humboldt County</v>
      </c>
      <c r="M61">
        <f t="shared" si="7"/>
        <v>2188.2999999999997</v>
      </c>
    </row>
    <row r="62" spans="1:13" x14ac:dyDescent="0.3">
      <c r="A62" t="s">
        <v>19</v>
      </c>
      <c r="B62" t="s">
        <v>331</v>
      </c>
      <c r="C62">
        <v>59</v>
      </c>
      <c r="D62">
        <v>2661.5999999999995</v>
      </c>
      <c r="F62" t="str">
        <f t="shared" si="2"/>
        <v>California</v>
      </c>
      <c r="G62" t="str">
        <f t="shared" si="3"/>
        <v>Imperial County</v>
      </c>
      <c r="H62">
        <f t="shared" si="4"/>
        <v>59</v>
      </c>
      <c r="K62" t="str">
        <f t="shared" si="5"/>
        <v>California</v>
      </c>
      <c r="L62" t="str">
        <f t="shared" si="6"/>
        <v>Imperial County</v>
      </c>
      <c r="M62">
        <f t="shared" si="7"/>
        <v>2661.5999999999995</v>
      </c>
    </row>
    <row r="63" spans="1:13" x14ac:dyDescent="0.3">
      <c r="A63" t="s">
        <v>19</v>
      </c>
      <c r="B63" t="s">
        <v>86</v>
      </c>
      <c r="C63">
        <v>8</v>
      </c>
      <c r="D63">
        <v>887.5</v>
      </c>
      <c r="F63" t="str">
        <f t="shared" si="2"/>
        <v>California</v>
      </c>
      <c r="G63" t="str">
        <f t="shared" si="3"/>
        <v>Inyo County</v>
      </c>
      <c r="H63">
        <f t="shared" si="4"/>
        <v>8</v>
      </c>
      <c r="K63" t="str">
        <f t="shared" si="5"/>
        <v>California</v>
      </c>
      <c r="L63" t="str">
        <f t="shared" si="6"/>
        <v>Inyo County</v>
      </c>
      <c r="M63">
        <f t="shared" si="7"/>
        <v>887.5</v>
      </c>
    </row>
    <row r="64" spans="1:13" x14ac:dyDescent="0.3">
      <c r="A64" t="s">
        <v>19</v>
      </c>
      <c r="B64" t="s">
        <v>147</v>
      </c>
      <c r="C64">
        <v>222</v>
      </c>
      <c r="D64">
        <v>11354.199999999993</v>
      </c>
      <c r="F64" t="str">
        <f t="shared" si="2"/>
        <v>California</v>
      </c>
      <c r="G64" t="str">
        <f t="shared" si="3"/>
        <v>Kern County</v>
      </c>
      <c r="H64">
        <f t="shared" si="4"/>
        <v>222</v>
      </c>
      <c r="K64" t="str">
        <f t="shared" si="5"/>
        <v>California</v>
      </c>
      <c r="L64" t="str">
        <f t="shared" si="6"/>
        <v>Kern County</v>
      </c>
      <c r="M64">
        <f t="shared" si="7"/>
        <v>11354.199999999993</v>
      </c>
    </row>
    <row r="65" spans="1:13" x14ac:dyDescent="0.3">
      <c r="A65" t="s">
        <v>19</v>
      </c>
      <c r="B65" t="s">
        <v>334</v>
      </c>
      <c r="C65">
        <v>36</v>
      </c>
      <c r="D65">
        <v>1558.4</v>
      </c>
      <c r="F65" t="str">
        <f t="shared" si="2"/>
        <v>California</v>
      </c>
      <c r="G65" t="str">
        <f t="shared" si="3"/>
        <v>Kings County</v>
      </c>
      <c r="H65">
        <f t="shared" si="4"/>
        <v>36</v>
      </c>
      <c r="K65" t="str">
        <f t="shared" si="5"/>
        <v>California</v>
      </c>
      <c r="L65" t="str">
        <f t="shared" si="6"/>
        <v>Kings County</v>
      </c>
      <c r="M65">
        <f t="shared" si="7"/>
        <v>1558.4</v>
      </c>
    </row>
    <row r="66" spans="1:13" x14ac:dyDescent="0.3">
      <c r="A66" t="s">
        <v>19</v>
      </c>
      <c r="B66" t="s">
        <v>949</v>
      </c>
      <c r="C66">
        <v>30</v>
      </c>
      <c r="D66">
        <v>2223.9</v>
      </c>
      <c r="F66" t="str">
        <f t="shared" si="2"/>
        <v>California</v>
      </c>
      <c r="G66" t="str">
        <f t="shared" si="3"/>
        <v>Lake County</v>
      </c>
      <c r="H66">
        <f t="shared" si="4"/>
        <v>30</v>
      </c>
      <c r="K66" t="str">
        <f t="shared" si="5"/>
        <v>California</v>
      </c>
      <c r="L66" t="str">
        <f t="shared" si="6"/>
        <v>Lake County</v>
      </c>
      <c r="M66">
        <f t="shared" si="7"/>
        <v>2223.9</v>
      </c>
    </row>
    <row r="67" spans="1:13" x14ac:dyDescent="0.3">
      <c r="A67" t="s">
        <v>19</v>
      </c>
      <c r="B67" t="s">
        <v>1426</v>
      </c>
      <c r="C67">
        <v>1</v>
      </c>
      <c r="D67">
        <v>26.2</v>
      </c>
      <c r="F67" t="str">
        <f t="shared" si="2"/>
        <v>California</v>
      </c>
      <c r="G67" t="str">
        <f t="shared" si="3"/>
        <v>Lassen County</v>
      </c>
      <c r="H67">
        <f t="shared" si="4"/>
        <v>1</v>
      </c>
      <c r="K67" t="str">
        <f t="shared" si="5"/>
        <v>California</v>
      </c>
      <c r="L67" t="str">
        <f t="shared" si="6"/>
        <v>Lassen County</v>
      </c>
      <c r="M67">
        <f t="shared" si="7"/>
        <v>26.2</v>
      </c>
    </row>
    <row r="68" spans="1:13" x14ac:dyDescent="0.3">
      <c r="A68" t="s">
        <v>19</v>
      </c>
      <c r="B68" t="s">
        <v>33</v>
      </c>
      <c r="C68">
        <v>3991</v>
      </c>
      <c r="D68">
        <v>215551.19999999981</v>
      </c>
      <c r="F68" t="str">
        <f t="shared" si="2"/>
        <v>California</v>
      </c>
      <c r="G68" t="str">
        <f t="shared" si="3"/>
        <v>Los Angeles County</v>
      </c>
      <c r="H68">
        <f t="shared" si="4"/>
        <v>3991</v>
      </c>
      <c r="K68" t="str">
        <f t="shared" si="5"/>
        <v>California</v>
      </c>
      <c r="L68" t="str">
        <f t="shared" si="6"/>
        <v>Los Angeles County</v>
      </c>
      <c r="M68">
        <f t="shared" si="7"/>
        <v>215551.19999999981</v>
      </c>
    </row>
    <row r="69" spans="1:13" x14ac:dyDescent="0.3">
      <c r="A69" t="s">
        <v>19</v>
      </c>
      <c r="B69" t="s">
        <v>364</v>
      </c>
      <c r="C69">
        <v>45</v>
      </c>
      <c r="D69">
        <v>2687.3999999999996</v>
      </c>
      <c r="F69" t="str">
        <f t="shared" ref="F69:F107" si="8">A69</f>
        <v>California</v>
      </c>
      <c r="G69" t="str">
        <f t="shared" ref="G69:G107" si="9">B69</f>
        <v>Madera County</v>
      </c>
      <c r="H69">
        <f t="shared" ref="H69:H107" si="10">C69</f>
        <v>45</v>
      </c>
      <c r="K69" t="str">
        <f t="shared" si="5"/>
        <v>California</v>
      </c>
      <c r="L69" t="str">
        <f t="shared" si="6"/>
        <v>Madera County</v>
      </c>
      <c r="M69">
        <f t="shared" si="7"/>
        <v>2687.3999999999996</v>
      </c>
    </row>
    <row r="70" spans="1:13" x14ac:dyDescent="0.3">
      <c r="A70" t="s">
        <v>19</v>
      </c>
      <c r="B70" t="s">
        <v>545</v>
      </c>
      <c r="C70">
        <v>39</v>
      </c>
      <c r="D70">
        <v>1463.3000000000002</v>
      </c>
      <c r="F70" t="str">
        <f t="shared" si="8"/>
        <v>California</v>
      </c>
      <c r="G70" t="str">
        <f t="shared" si="9"/>
        <v>Marin County</v>
      </c>
      <c r="H70">
        <f t="shared" si="10"/>
        <v>39</v>
      </c>
      <c r="K70" t="str">
        <f t="shared" si="5"/>
        <v>California</v>
      </c>
      <c r="L70" t="str">
        <f t="shared" si="6"/>
        <v>Marin County</v>
      </c>
      <c r="M70">
        <f t="shared" si="7"/>
        <v>1463.3000000000002</v>
      </c>
    </row>
    <row r="71" spans="1:13" x14ac:dyDescent="0.3">
      <c r="A71" t="s">
        <v>19</v>
      </c>
      <c r="B71" t="s">
        <v>416</v>
      </c>
      <c r="C71">
        <v>6</v>
      </c>
      <c r="D71">
        <v>445.79999999999995</v>
      </c>
      <c r="F71" t="str">
        <f t="shared" si="8"/>
        <v>California</v>
      </c>
      <c r="G71" t="str">
        <f t="shared" si="9"/>
        <v>Mariposa County</v>
      </c>
      <c r="H71">
        <f t="shared" si="10"/>
        <v>6</v>
      </c>
      <c r="K71" t="str">
        <f t="shared" si="5"/>
        <v>California</v>
      </c>
      <c r="L71" t="str">
        <f t="shared" si="6"/>
        <v>Mariposa County</v>
      </c>
      <c r="M71">
        <f t="shared" si="7"/>
        <v>445.79999999999995</v>
      </c>
    </row>
    <row r="72" spans="1:13" x14ac:dyDescent="0.3">
      <c r="A72" t="s">
        <v>19</v>
      </c>
      <c r="B72" t="s">
        <v>258</v>
      </c>
      <c r="C72">
        <v>9</v>
      </c>
      <c r="D72">
        <v>273.59999999999997</v>
      </c>
      <c r="F72" t="str">
        <f t="shared" si="8"/>
        <v>California</v>
      </c>
      <c r="G72" t="str">
        <f t="shared" si="9"/>
        <v>Mendocino County</v>
      </c>
      <c r="H72">
        <f t="shared" si="10"/>
        <v>9</v>
      </c>
      <c r="K72" t="str">
        <f t="shared" si="5"/>
        <v>California</v>
      </c>
      <c r="L72" t="str">
        <f t="shared" si="6"/>
        <v>Mendocino County</v>
      </c>
      <c r="M72">
        <f t="shared" si="7"/>
        <v>273.59999999999997</v>
      </c>
    </row>
    <row r="73" spans="1:13" x14ac:dyDescent="0.3">
      <c r="A73" t="s">
        <v>19</v>
      </c>
      <c r="B73" t="s">
        <v>186</v>
      </c>
      <c r="C73">
        <v>60</v>
      </c>
      <c r="D73">
        <v>2690.4</v>
      </c>
      <c r="F73" t="str">
        <f t="shared" si="8"/>
        <v>California</v>
      </c>
      <c r="G73" t="str">
        <f t="shared" si="9"/>
        <v>Merced County</v>
      </c>
      <c r="H73">
        <f t="shared" si="10"/>
        <v>60</v>
      </c>
      <c r="K73" t="str">
        <f t="shared" si="5"/>
        <v>California</v>
      </c>
      <c r="L73" t="str">
        <f t="shared" si="6"/>
        <v>Merced County</v>
      </c>
      <c r="M73">
        <f t="shared" si="7"/>
        <v>2690.4</v>
      </c>
    </row>
    <row r="74" spans="1:13" x14ac:dyDescent="0.3">
      <c r="A74" t="s">
        <v>19</v>
      </c>
      <c r="B74" t="s">
        <v>392</v>
      </c>
      <c r="C74">
        <v>2</v>
      </c>
      <c r="D74">
        <v>28.4</v>
      </c>
      <c r="F74" t="str">
        <f t="shared" si="8"/>
        <v>California</v>
      </c>
      <c r="G74" t="str">
        <f t="shared" si="9"/>
        <v>Modoc County</v>
      </c>
      <c r="H74">
        <f t="shared" si="10"/>
        <v>2</v>
      </c>
      <c r="K74" t="str">
        <f t="shared" si="5"/>
        <v>California</v>
      </c>
      <c r="L74" t="str">
        <f t="shared" si="6"/>
        <v>Modoc County</v>
      </c>
      <c r="M74">
        <f t="shared" si="7"/>
        <v>28.4</v>
      </c>
    </row>
    <row r="75" spans="1:13" x14ac:dyDescent="0.3">
      <c r="A75" t="s">
        <v>19</v>
      </c>
      <c r="B75" t="s">
        <v>670</v>
      </c>
      <c r="C75">
        <v>4</v>
      </c>
      <c r="D75">
        <v>204.8</v>
      </c>
      <c r="F75" t="str">
        <f t="shared" si="8"/>
        <v>California</v>
      </c>
      <c r="G75" t="str">
        <f t="shared" si="9"/>
        <v>Mono County</v>
      </c>
      <c r="H75">
        <f t="shared" si="10"/>
        <v>4</v>
      </c>
      <c r="K75" t="str">
        <f t="shared" si="5"/>
        <v>California</v>
      </c>
      <c r="L75" t="str">
        <f t="shared" si="6"/>
        <v>Mono County</v>
      </c>
      <c r="M75">
        <f t="shared" si="7"/>
        <v>204.8</v>
      </c>
    </row>
    <row r="76" spans="1:13" x14ac:dyDescent="0.3">
      <c r="A76" t="s">
        <v>19</v>
      </c>
      <c r="B76" t="s">
        <v>802</v>
      </c>
      <c r="C76">
        <v>31</v>
      </c>
      <c r="D76">
        <v>1607.8999999999999</v>
      </c>
      <c r="F76" t="str">
        <f t="shared" si="8"/>
        <v>California</v>
      </c>
      <c r="G76" t="str">
        <f t="shared" si="9"/>
        <v>Monterey County</v>
      </c>
      <c r="H76">
        <f t="shared" si="10"/>
        <v>31</v>
      </c>
      <c r="K76" t="str">
        <f t="shared" si="5"/>
        <v>California</v>
      </c>
      <c r="L76" t="str">
        <f t="shared" si="6"/>
        <v>Monterey County</v>
      </c>
      <c r="M76">
        <f t="shared" si="7"/>
        <v>1607.8999999999999</v>
      </c>
    </row>
    <row r="77" spans="1:13" x14ac:dyDescent="0.3">
      <c r="A77" t="s">
        <v>19</v>
      </c>
      <c r="B77" t="s">
        <v>98</v>
      </c>
      <c r="C77">
        <v>88</v>
      </c>
      <c r="D77">
        <v>6444.9</v>
      </c>
      <c r="F77" t="str">
        <f t="shared" si="8"/>
        <v>California</v>
      </c>
      <c r="G77" t="str">
        <f t="shared" si="9"/>
        <v>Napa County</v>
      </c>
      <c r="H77">
        <f t="shared" si="10"/>
        <v>88</v>
      </c>
      <c r="K77" t="str">
        <f t="shared" si="5"/>
        <v>California</v>
      </c>
      <c r="L77" t="str">
        <f t="shared" si="6"/>
        <v>Napa County</v>
      </c>
      <c r="M77">
        <f t="shared" si="7"/>
        <v>6444.9</v>
      </c>
    </row>
    <row r="78" spans="1:13" x14ac:dyDescent="0.3">
      <c r="A78" t="s">
        <v>19</v>
      </c>
      <c r="B78" t="s">
        <v>49</v>
      </c>
      <c r="C78">
        <v>25</v>
      </c>
      <c r="D78">
        <v>1809.3</v>
      </c>
      <c r="F78" t="str">
        <f t="shared" si="8"/>
        <v>California</v>
      </c>
      <c r="G78" t="str">
        <f t="shared" si="9"/>
        <v>Nevada County</v>
      </c>
      <c r="H78">
        <f t="shared" si="10"/>
        <v>25</v>
      </c>
      <c r="K78" t="str">
        <f t="shared" si="5"/>
        <v>California</v>
      </c>
      <c r="L78" t="str">
        <f t="shared" si="6"/>
        <v>Nevada County</v>
      </c>
      <c r="M78">
        <f t="shared" si="7"/>
        <v>1809.3</v>
      </c>
    </row>
    <row r="79" spans="1:13" x14ac:dyDescent="0.3">
      <c r="A79" t="s">
        <v>19</v>
      </c>
      <c r="B79" t="s">
        <v>188</v>
      </c>
      <c r="C79">
        <v>178</v>
      </c>
      <c r="D79">
        <v>9680.399999999996</v>
      </c>
      <c r="F79" t="str">
        <f t="shared" si="8"/>
        <v>California</v>
      </c>
      <c r="G79" t="str">
        <f t="shared" si="9"/>
        <v>Orange County</v>
      </c>
      <c r="H79">
        <f t="shared" si="10"/>
        <v>178</v>
      </c>
      <c r="K79" t="str">
        <f t="shared" si="5"/>
        <v>California</v>
      </c>
      <c r="L79" t="str">
        <f t="shared" si="6"/>
        <v>Orange County</v>
      </c>
      <c r="M79">
        <f t="shared" si="7"/>
        <v>9680.399999999996</v>
      </c>
    </row>
    <row r="80" spans="1:13" x14ac:dyDescent="0.3">
      <c r="A80" t="s">
        <v>19</v>
      </c>
      <c r="B80" t="s">
        <v>52</v>
      </c>
      <c r="C80">
        <v>141</v>
      </c>
      <c r="D80">
        <v>9414.7999999999993</v>
      </c>
      <c r="F80" t="str">
        <f t="shared" si="8"/>
        <v>California</v>
      </c>
      <c r="G80" t="str">
        <f t="shared" si="9"/>
        <v>Placer County</v>
      </c>
      <c r="H80">
        <f t="shared" si="10"/>
        <v>141</v>
      </c>
      <c r="K80" t="str">
        <f t="shared" si="5"/>
        <v>California</v>
      </c>
      <c r="L80" t="str">
        <f t="shared" si="6"/>
        <v>Placer County</v>
      </c>
      <c r="M80">
        <f t="shared" si="7"/>
        <v>9414.7999999999993</v>
      </c>
    </row>
    <row r="81" spans="1:13" x14ac:dyDescent="0.3">
      <c r="A81" t="s">
        <v>19</v>
      </c>
      <c r="B81" t="s">
        <v>338</v>
      </c>
      <c r="C81">
        <v>6</v>
      </c>
      <c r="D81">
        <v>206.1</v>
      </c>
      <c r="F81" t="str">
        <f t="shared" si="8"/>
        <v>California</v>
      </c>
      <c r="G81" t="str">
        <f t="shared" si="9"/>
        <v>Plumas County</v>
      </c>
      <c r="H81">
        <f t="shared" si="10"/>
        <v>6</v>
      </c>
      <c r="K81" t="str">
        <f t="shared" si="5"/>
        <v>California</v>
      </c>
      <c r="L81" t="str">
        <f t="shared" si="6"/>
        <v>Plumas County</v>
      </c>
      <c r="M81">
        <f t="shared" si="7"/>
        <v>206.1</v>
      </c>
    </row>
    <row r="82" spans="1:13" x14ac:dyDescent="0.3">
      <c r="A82" t="s">
        <v>19</v>
      </c>
      <c r="B82" t="s">
        <v>158</v>
      </c>
      <c r="C82">
        <v>178</v>
      </c>
      <c r="D82">
        <v>7691.3</v>
      </c>
      <c r="F82" t="str">
        <f t="shared" si="8"/>
        <v>California</v>
      </c>
      <c r="G82" t="str">
        <f t="shared" si="9"/>
        <v>Riverside County</v>
      </c>
      <c r="H82">
        <f t="shared" si="10"/>
        <v>178</v>
      </c>
      <c r="K82" t="str">
        <f t="shared" si="5"/>
        <v>California</v>
      </c>
      <c r="L82" t="str">
        <f t="shared" si="6"/>
        <v>Riverside County</v>
      </c>
      <c r="M82">
        <f t="shared" si="7"/>
        <v>7691.3</v>
      </c>
    </row>
    <row r="83" spans="1:13" x14ac:dyDescent="0.3">
      <c r="A83" t="s">
        <v>19</v>
      </c>
      <c r="B83" t="s">
        <v>55</v>
      </c>
      <c r="C83">
        <v>699</v>
      </c>
      <c r="D83">
        <v>37784.900000000016</v>
      </c>
      <c r="F83" t="str">
        <f t="shared" si="8"/>
        <v>California</v>
      </c>
      <c r="G83" t="str">
        <f t="shared" si="9"/>
        <v>Sacramento County</v>
      </c>
      <c r="H83">
        <f t="shared" si="10"/>
        <v>699</v>
      </c>
      <c r="K83" t="str">
        <f t="shared" si="5"/>
        <v>California</v>
      </c>
      <c r="L83" t="str">
        <f t="shared" si="6"/>
        <v>Sacramento County</v>
      </c>
      <c r="M83">
        <f t="shared" si="7"/>
        <v>37784.900000000016</v>
      </c>
    </row>
    <row r="84" spans="1:13" x14ac:dyDescent="0.3">
      <c r="A84" t="s">
        <v>19</v>
      </c>
      <c r="B84" t="s">
        <v>342</v>
      </c>
      <c r="C84">
        <v>23</v>
      </c>
      <c r="D84">
        <v>1129.7</v>
      </c>
      <c r="F84" t="str">
        <f t="shared" si="8"/>
        <v>California</v>
      </c>
      <c r="G84" t="str">
        <f t="shared" si="9"/>
        <v>San Benito County</v>
      </c>
      <c r="H84">
        <f t="shared" si="10"/>
        <v>23</v>
      </c>
      <c r="K84" t="str">
        <f t="shared" si="5"/>
        <v>California</v>
      </c>
      <c r="L84" t="str">
        <f t="shared" si="6"/>
        <v>San Benito County</v>
      </c>
      <c r="M84">
        <f t="shared" si="7"/>
        <v>1129.7</v>
      </c>
    </row>
    <row r="85" spans="1:13" x14ac:dyDescent="0.3">
      <c r="A85" t="s">
        <v>19</v>
      </c>
      <c r="B85" t="s">
        <v>59</v>
      </c>
      <c r="C85">
        <v>356</v>
      </c>
      <c r="D85">
        <v>20988.9</v>
      </c>
      <c r="F85" t="str">
        <f t="shared" si="8"/>
        <v>California</v>
      </c>
      <c r="G85" t="str">
        <f t="shared" si="9"/>
        <v>San Bernardino County</v>
      </c>
      <c r="H85">
        <f t="shared" si="10"/>
        <v>356</v>
      </c>
      <c r="K85" t="str">
        <f t="shared" si="5"/>
        <v>California</v>
      </c>
      <c r="L85" t="str">
        <f t="shared" si="6"/>
        <v>San Bernardino County</v>
      </c>
      <c r="M85">
        <f t="shared" si="7"/>
        <v>20988.9</v>
      </c>
    </row>
    <row r="86" spans="1:13" x14ac:dyDescent="0.3">
      <c r="A86" t="s">
        <v>19</v>
      </c>
      <c r="B86" t="s">
        <v>62</v>
      </c>
      <c r="C86">
        <v>1768</v>
      </c>
      <c r="D86">
        <v>98367.099999999977</v>
      </c>
      <c r="F86" t="str">
        <f t="shared" si="8"/>
        <v>California</v>
      </c>
      <c r="G86" t="str">
        <f t="shared" si="9"/>
        <v>San Diego County</v>
      </c>
      <c r="H86">
        <f t="shared" si="10"/>
        <v>1768</v>
      </c>
      <c r="K86" t="str">
        <f t="shared" si="5"/>
        <v>California</v>
      </c>
      <c r="L86" t="str">
        <f t="shared" si="6"/>
        <v>San Diego County</v>
      </c>
      <c r="M86">
        <f t="shared" si="7"/>
        <v>98367.099999999977</v>
      </c>
    </row>
    <row r="87" spans="1:13" x14ac:dyDescent="0.3">
      <c r="A87" t="s">
        <v>19</v>
      </c>
      <c r="B87" t="s">
        <v>103</v>
      </c>
      <c r="C87">
        <v>307</v>
      </c>
      <c r="D87">
        <v>21911.9</v>
      </c>
      <c r="F87" t="str">
        <f t="shared" si="8"/>
        <v>California</v>
      </c>
      <c r="G87" t="str">
        <f t="shared" si="9"/>
        <v>San Francisco</v>
      </c>
      <c r="H87">
        <f t="shared" si="10"/>
        <v>307</v>
      </c>
      <c r="K87" t="str">
        <f t="shared" si="5"/>
        <v>California</v>
      </c>
      <c r="L87" t="str">
        <f t="shared" si="6"/>
        <v>San Francisco</v>
      </c>
      <c r="M87">
        <f t="shared" si="7"/>
        <v>21911.9</v>
      </c>
    </row>
    <row r="88" spans="1:13" x14ac:dyDescent="0.3">
      <c r="A88" t="s">
        <v>19</v>
      </c>
      <c r="B88" t="s">
        <v>201</v>
      </c>
      <c r="C88">
        <v>117</v>
      </c>
      <c r="D88">
        <v>5441.2</v>
      </c>
      <c r="F88" t="str">
        <f t="shared" si="8"/>
        <v>California</v>
      </c>
      <c r="G88" t="str">
        <f t="shared" si="9"/>
        <v>San Joaquin County</v>
      </c>
      <c r="H88">
        <f t="shared" si="10"/>
        <v>117</v>
      </c>
      <c r="K88" t="str">
        <f t="shared" si="5"/>
        <v>California</v>
      </c>
      <c r="L88" t="str">
        <f t="shared" si="6"/>
        <v>San Joaquin County</v>
      </c>
      <c r="M88">
        <f t="shared" si="7"/>
        <v>5441.2</v>
      </c>
    </row>
    <row r="89" spans="1:13" x14ac:dyDescent="0.3">
      <c r="A89" t="s">
        <v>19</v>
      </c>
      <c r="B89" t="s">
        <v>429</v>
      </c>
      <c r="C89">
        <v>13</v>
      </c>
      <c r="D89">
        <v>392.8</v>
      </c>
      <c r="F89" t="str">
        <f t="shared" si="8"/>
        <v>California</v>
      </c>
      <c r="G89" t="str">
        <f t="shared" si="9"/>
        <v>San Luis Obispo County</v>
      </c>
      <c r="H89">
        <f t="shared" si="10"/>
        <v>13</v>
      </c>
      <c r="K89" t="str">
        <f t="shared" si="5"/>
        <v>California</v>
      </c>
      <c r="L89" t="str">
        <f t="shared" si="6"/>
        <v>San Luis Obispo County</v>
      </c>
      <c r="M89">
        <f t="shared" si="7"/>
        <v>392.8</v>
      </c>
    </row>
    <row r="90" spans="1:13" x14ac:dyDescent="0.3">
      <c r="A90" t="s">
        <v>19</v>
      </c>
      <c r="B90" t="s">
        <v>72</v>
      </c>
      <c r="C90">
        <v>364</v>
      </c>
      <c r="D90">
        <v>16172.000000000005</v>
      </c>
      <c r="F90" t="str">
        <f t="shared" si="8"/>
        <v>California</v>
      </c>
      <c r="G90" t="str">
        <f t="shared" si="9"/>
        <v>San Mateo County</v>
      </c>
      <c r="H90">
        <f t="shared" si="10"/>
        <v>364</v>
      </c>
      <c r="K90" t="str">
        <f t="shared" si="5"/>
        <v>California</v>
      </c>
      <c r="L90" t="str">
        <f t="shared" si="6"/>
        <v>San Mateo County</v>
      </c>
      <c r="M90">
        <f t="shared" si="7"/>
        <v>16172.000000000005</v>
      </c>
    </row>
    <row r="91" spans="1:13" x14ac:dyDescent="0.3">
      <c r="A91" t="s">
        <v>19</v>
      </c>
      <c r="B91" t="s">
        <v>74</v>
      </c>
      <c r="C91">
        <v>95</v>
      </c>
      <c r="D91">
        <v>4334.9999999999991</v>
      </c>
      <c r="F91" t="str">
        <f t="shared" si="8"/>
        <v>California</v>
      </c>
      <c r="G91" t="str">
        <f t="shared" si="9"/>
        <v>Santa Barbara County</v>
      </c>
      <c r="H91">
        <f t="shared" si="10"/>
        <v>95</v>
      </c>
      <c r="K91" t="str">
        <f t="shared" si="5"/>
        <v>California</v>
      </c>
      <c r="L91" t="str">
        <f t="shared" si="6"/>
        <v>Santa Barbara County</v>
      </c>
      <c r="M91">
        <f t="shared" si="7"/>
        <v>4334.9999999999991</v>
      </c>
    </row>
    <row r="92" spans="1:13" x14ac:dyDescent="0.3">
      <c r="A92" t="s">
        <v>19</v>
      </c>
      <c r="B92" t="s">
        <v>77</v>
      </c>
      <c r="C92">
        <v>737</v>
      </c>
      <c r="D92">
        <v>37449.000000000007</v>
      </c>
      <c r="F92" t="str">
        <f t="shared" si="8"/>
        <v>California</v>
      </c>
      <c r="G92" t="str">
        <f t="shared" si="9"/>
        <v>Santa Clara County</v>
      </c>
      <c r="H92">
        <f t="shared" si="10"/>
        <v>737</v>
      </c>
      <c r="K92" t="str">
        <f t="shared" si="5"/>
        <v>California</v>
      </c>
      <c r="L92" t="str">
        <f t="shared" si="6"/>
        <v>Santa Clara County</v>
      </c>
      <c r="M92">
        <f t="shared" si="7"/>
        <v>37449.000000000007</v>
      </c>
    </row>
    <row r="93" spans="1:13" x14ac:dyDescent="0.3">
      <c r="A93" t="s">
        <v>19</v>
      </c>
      <c r="B93" t="s">
        <v>309</v>
      </c>
      <c r="C93">
        <v>39</v>
      </c>
      <c r="D93">
        <v>2447.5</v>
      </c>
      <c r="F93" t="str">
        <f t="shared" si="8"/>
        <v>California</v>
      </c>
      <c r="G93" t="str">
        <f t="shared" si="9"/>
        <v>Santa Cruz County</v>
      </c>
      <c r="H93">
        <f t="shared" si="10"/>
        <v>39</v>
      </c>
      <c r="K93" t="str">
        <f t="shared" si="5"/>
        <v>California</v>
      </c>
      <c r="L93" t="str">
        <f t="shared" si="6"/>
        <v>Santa Cruz County</v>
      </c>
      <c r="M93">
        <f t="shared" si="7"/>
        <v>2447.5</v>
      </c>
    </row>
    <row r="94" spans="1:13" x14ac:dyDescent="0.3">
      <c r="A94" t="s">
        <v>19</v>
      </c>
      <c r="B94" t="s">
        <v>1116</v>
      </c>
      <c r="C94">
        <v>56</v>
      </c>
      <c r="D94">
        <v>3391.1</v>
      </c>
      <c r="F94" t="str">
        <f t="shared" si="8"/>
        <v>California</v>
      </c>
      <c r="G94" t="str">
        <f t="shared" si="9"/>
        <v>Shasta County</v>
      </c>
      <c r="H94">
        <f t="shared" si="10"/>
        <v>56</v>
      </c>
      <c r="K94" t="str">
        <f t="shared" si="5"/>
        <v>California</v>
      </c>
      <c r="L94" t="str">
        <f t="shared" si="6"/>
        <v>Shasta County</v>
      </c>
      <c r="M94">
        <f t="shared" si="7"/>
        <v>3391.1</v>
      </c>
    </row>
    <row r="95" spans="1:13" x14ac:dyDescent="0.3">
      <c r="A95" t="s">
        <v>19</v>
      </c>
      <c r="B95" t="s">
        <v>700</v>
      </c>
      <c r="C95">
        <v>2</v>
      </c>
      <c r="D95">
        <v>30.8</v>
      </c>
      <c r="F95" t="str">
        <f t="shared" si="8"/>
        <v>California</v>
      </c>
      <c r="G95" t="str">
        <f t="shared" si="9"/>
        <v>Sierra County</v>
      </c>
      <c r="H95">
        <f t="shared" si="10"/>
        <v>2</v>
      </c>
      <c r="K95" t="str">
        <f t="shared" si="5"/>
        <v>California</v>
      </c>
      <c r="L95" t="str">
        <f t="shared" si="6"/>
        <v>Sierra County</v>
      </c>
      <c r="M95">
        <f t="shared" si="7"/>
        <v>30.8</v>
      </c>
    </row>
    <row r="96" spans="1:13" x14ac:dyDescent="0.3">
      <c r="A96" t="s">
        <v>19</v>
      </c>
      <c r="B96" t="s">
        <v>268</v>
      </c>
      <c r="C96">
        <v>8</v>
      </c>
      <c r="D96">
        <v>332.3</v>
      </c>
      <c r="F96" t="str">
        <f t="shared" si="8"/>
        <v>California</v>
      </c>
      <c r="G96" t="str">
        <f t="shared" si="9"/>
        <v>Siskiyou County</v>
      </c>
      <c r="H96">
        <f t="shared" si="10"/>
        <v>8</v>
      </c>
      <c r="K96" t="str">
        <f t="shared" si="5"/>
        <v>California</v>
      </c>
      <c r="L96" t="str">
        <f t="shared" si="6"/>
        <v>Siskiyou County</v>
      </c>
      <c r="M96">
        <f t="shared" si="7"/>
        <v>332.3</v>
      </c>
    </row>
    <row r="97" spans="1:13" x14ac:dyDescent="0.3">
      <c r="A97" t="s">
        <v>19</v>
      </c>
      <c r="B97" t="s">
        <v>377</v>
      </c>
      <c r="C97">
        <v>52</v>
      </c>
      <c r="D97">
        <v>3175.9999999999995</v>
      </c>
      <c r="F97" t="str">
        <f t="shared" si="8"/>
        <v>California</v>
      </c>
      <c r="G97" t="str">
        <f t="shared" si="9"/>
        <v>Solano County</v>
      </c>
      <c r="H97">
        <f t="shared" si="10"/>
        <v>52</v>
      </c>
      <c r="K97" t="str">
        <f t="shared" si="5"/>
        <v>California</v>
      </c>
      <c r="L97" t="str">
        <f t="shared" si="6"/>
        <v>Solano County</v>
      </c>
      <c r="M97">
        <f t="shared" si="7"/>
        <v>3175.9999999999995</v>
      </c>
    </row>
    <row r="98" spans="1:13" x14ac:dyDescent="0.3">
      <c r="A98" t="s">
        <v>19</v>
      </c>
      <c r="B98" t="s">
        <v>108</v>
      </c>
      <c r="C98">
        <v>295</v>
      </c>
      <c r="D98">
        <v>20939.600000000002</v>
      </c>
      <c r="F98" t="str">
        <f t="shared" si="8"/>
        <v>California</v>
      </c>
      <c r="G98" t="str">
        <f t="shared" si="9"/>
        <v>Sonoma County</v>
      </c>
      <c r="H98">
        <f t="shared" si="10"/>
        <v>295</v>
      </c>
      <c r="K98" t="str">
        <f t="shared" si="5"/>
        <v>California</v>
      </c>
      <c r="L98" t="str">
        <f t="shared" si="6"/>
        <v>Sonoma County</v>
      </c>
      <c r="M98">
        <f t="shared" si="7"/>
        <v>20939.600000000002</v>
      </c>
    </row>
    <row r="99" spans="1:13" x14ac:dyDescent="0.3">
      <c r="A99" t="s">
        <v>19</v>
      </c>
      <c r="B99" t="s">
        <v>110</v>
      </c>
      <c r="C99">
        <v>195</v>
      </c>
      <c r="D99">
        <v>10185.899999999996</v>
      </c>
      <c r="F99" t="str">
        <f t="shared" si="8"/>
        <v>California</v>
      </c>
      <c r="G99" t="str">
        <f t="shared" si="9"/>
        <v>Stanislaus County</v>
      </c>
      <c r="H99">
        <f t="shared" si="10"/>
        <v>195</v>
      </c>
      <c r="K99" t="str">
        <f t="shared" si="5"/>
        <v>California</v>
      </c>
      <c r="L99" t="str">
        <f t="shared" si="6"/>
        <v>Stanislaus County</v>
      </c>
      <c r="M99">
        <f t="shared" si="7"/>
        <v>10185.899999999996</v>
      </c>
    </row>
    <row r="100" spans="1:13" x14ac:dyDescent="0.3">
      <c r="A100" t="s">
        <v>19</v>
      </c>
      <c r="B100" t="s">
        <v>292</v>
      </c>
      <c r="C100">
        <v>20</v>
      </c>
      <c r="D100">
        <v>958.7</v>
      </c>
      <c r="F100" t="str">
        <f t="shared" si="8"/>
        <v>California</v>
      </c>
      <c r="G100" t="str">
        <f t="shared" si="9"/>
        <v>Sutter County</v>
      </c>
      <c r="H100">
        <f t="shared" si="10"/>
        <v>20</v>
      </c>
      <c r="K100" t="str">
        <f t="shared" si="5"/>
        <v>California</v>
      </c>
      <c r="L100" t="str">
        <f t="shared" si="6"/>
        <v>Sutter County</v>
      </c>
      <c r="M100">
        <f t="shared" si="7"/>
        <v>958.7</v>
      </c>
    </row>
    <row r="101" spans="1:13" x14ac:dyDescent="0.3">
      <c r="A101" t="s">
        <v>19</v>
      </c>
      <c r="B101" t="s">
        <v>79</v>
      </c>
      <c r="C101">
        <v>6</v>
      </c>
      <c r="D101">
        <v>323</v>
      </c>
      <c r="F101" t="str">
        <f t="shared" si="8"/>
        <v>California</v>
      </c>
      <c r="G101" t="str">
        <f t="shared" si="9"/>
        <v>Tehama County</v>
      </c>
      <c r="H101">
        <f t="shared" si="10"/>
        <v>6</v>
      </c>
      <c r="K101" t="str">
        <f t="shared" si="5"/>
        <v>California</v>
      </c>
      <c r="L101" t="str">
        <f t="shared" si="6"/>
        <v>Tehama County</v>
      </c>
      <c r="M101">
        <f t="shared" si="7"/>
        <v>323</v>
      </c>
    </row>
    <row r="102" spans="1:13" x14ac:dyDescent="0.3">
      <c r="A102" t="s">
        <v>19</v>
      </c>
      <c r="B102" t="s">
        <v>608</v>
      </c>
      <c r="C102">
        <v>5</v>
      </c>
      <c r="D102">
        <v>167.70000000000002</v>
      </c>
      <c r="F102" t="str">
        <f t="shared" si="8"/>
        <v>California</v>
      </c>
      <c r="G102" t="str">
        <f t="shared" si="9"/>
        <v>Trinity County</v>
      </c>
      <c r="H102">
        <f t="shared" si="10"/>
        <v>5</v>
      </c>
      <c r="K102" t="str">
        <f t="shared" si="5"/>
        <v>California</v>
      </c>
      <c r="L102" t="str">
        <f t="shared" si="6"/>
        <v>Trinity County</v>
      </c>
      <c r="M102">
        <f t="shared" si="7"/>
        <v>167.70000000000002</v>
      </c>
    </row>
    <row r="103" spans="1:13" x14ac:dyDescent="0.3">
      <c r="A103" t="s">
        <v>19</v>
      </c>
      <c r="B103" t="s">
        <v>113</v>
      </c>
      <c r="C103">
        <v>94</v>
      </c>
      <c r="D103">
        <v>3978.5</v>
      </c>
      <c r="F103" t="str">
        <f t="shared" si="8"/>
        <v>California</v>
      </c>
      <c r="G103" t="str">
        <f t="shared" si="9"/>
        <v>Tulare County</v>
      </c>
      <c r="H103">
        <f t="shared" si="10"/>
        <v>94</v>
      </c>
      <c r="K103" t="str">
        <f t="shared" si="5"/>
        <v>California</v>
      </c>
      <c r="L103" t="str">
        <f t="shared" si="6"/>
        <v>Tulare County</v>
      </c>
      <c r="M103">
        <f t="shared" si="7"/>
        <v>3978.5</v>
      </c>
    </row>
    <row r="104" spans="1:13" x14ac:dyDescent="0.3">
      <c r="A104" t="s">
        <v>19</v>
      </c>
      <c r="B104" t="s">
        <v>997</v>
      </c>
      <c r="C104">
        <v>28</v>
      </c>
      <c r="D104">
        <v>1405</v>
      </c>
      <c r="F104" t="str">
        <f t="shared" si="8"/>
        <v>California</v>
      </c>
      <c r="G104" t="str">
        <f t="shared" si="9"/>
        <v>Tuolumne County</v>
      </c>
      <c r="H104">
        <f t="shared" si="10"/>
        <v>28</v>
      </c>
      <c r="K104" t="str">
        <f t="shared" si="5"/>
        <v>California</v>
      </c>
      <c r="L104" t="str">
        <f t="shared" si="6"/>
        <v>Tuolumne County</v>
      </c>
      <c r="M104">
        <f t="shared" si="7"/>
        <v>1405</v>
      </c>
    </row>
    <row r="105" spans="1:13" x14ac:dyDescent="0.3">
      <c r="A105" t="s">
        <v>19</v>
      </c>
      <c r="B105" t="s">
        <v>82</v>
      </c>
      <c r="C105">
        <v>179</v>
      </c>
      <c r="D105">
        <v>9869.0999999999985</v>
      </c>
      <c r="F105" t="str">
        <f t="shared" si="8"/>
        <v>California</v>
      </c>
      <c r="G105" t="str">
        <f t="shared" si="9"/>
        <v>Ventura County</v>
      </c>
      <c r="H105">
        <f t="shared" si="10"/>
        <v>179</v>
      </c>
      <c r="K105" t="str">
        <f t="shared" si="5"/>
        <v>California</v>
      </c>
      <c r="L105" t="str">
        <f t="shared" si="6"/>
        <v>Ventura County</v>
      </c>
      <c r="M105">
        <f t="shared" si="7"/>
        <v>9869.0999999999985</v>
      </c>
    </row>
    <row r="106" spans="1:13" x14ac:dyDescent="0.3">
      <c r="A106" t="s">
        <v>19</v>
      </c>
      <c r="B106" t="s">
        <v>243</v>
      </c>
      <c r="C106">
        <v>15</v>
      </c>
      <c r="D106">
        <v>615.29999999999995</v>
      </c>
      <c r="F106" t="str">
        <f t="shared" si="8"/>
        <v>California</v>
      </c>
      <c r="G106" t="str">
        <f t="shared" si="9"/>
        <v>Yolo County</v>
      </c>
      <c r="H106">
        <f t="shared" si="10"/>
        <v>15</v>
      </c>
      <c r="K106" t="str">
        <f t="shared" si="5"/>
        <v>California</v>
      </c>
      <c r="L106" t="str">
        <f t="shared" si="6"/>
        <v>Yolo County</v>
      </c>
      <c r="M106">
        <f t="shared" si="7"/>
        <v>615.29999999999995</v>
      </c>
    </row>
    <row r="107" spans="1:13" x14ac:dyDescent="0.3">
      <c r="A107" t="s">
        <v>19</v>
      </c>
      <c r="B107" t="s">
        <v>1911</v>
      </c>
      <c r="C107">
        <v>3</v>
      </c>
      <c r="D107">
        <v>285</v>
      </c>
      <c r="F107" t="str">
        <f t="shared" si="8"/>
        <v>California</v>
      </c>
      <c r="G107" t="str">
        <f t="shared" si="9"/>
        <v>Yuba County</v>
      </c>
      <c r="H107">
        <f t="shared" si="10"/>
        <v>3</v>
      </c>
      <c r="K107" t="str">
        <f t="shared" si="5"/>
        <v>California</v>
      </c>
      <c r="L107" t="str">
        <f t="shared" si="6"/>
        <v>Yuba County</v>
      </c>
      <c r="M107">
        <f t="shared" si="7"/>
        <v>285</v>
      </c>
    </row>
    <row r="108" spans="1:13" x14ac:dyDescent="0.3">
      <c r="A108" t="s">
        <v>2539</v>
      </c>
      <c r="C108">
        <v>11997</v>
      </c>
      <c r="D108">
        <v>649019.79999999981</v>
      </c>
    </row>
    <row r="109" spans="1:13" x14ac:dyDescent="0.3">
      <c r="A109" t="s">
        <v>2524</v>
      </c>
      <c r="C109">
        <v>11997</v>
      </c>
      <c r="D109">
        <v>649019.79999999981</v>
      </c>
    </row>
    <row r="112" spans="1:13" x14ac:dyDescent="0.3">
      <c r="A112" t="s">
        <v>2546</v>
      </c>
    </row>
    <row r="114" spans="1:12" x14ac:dyDescent="0.3">
      <c r="A114" s="5" t="s">
        <v>2523</v>
      </c>
      <c r="B114" t="s">
        <v>2545</v>
      </c>
    </row>
    <row r="115" spans="1:12" x14ac:dyDescent="0.3">
      <c r="A115" s="6">
        <v>0</v>
      </c>
      <c r="B115">
        <v>175</v>
      </c>
      <c r="F115" t="s">
        <v>2547</v>
      </c>
    </row>
    <row r="116" spans="1:12" x14ac:dyDescent="0.3">
      <c r="A116" s="6">
        <v>1</v>
      </c>
      <c r="B116">
        <v>888</v>
      </c>
    </row>
    <row r="117" spans="1:12" x14ac:dyDescent="0.3">
      <c r="A117" s="6">
        <v>2</v>
      </c>
      <c r="B117">
        <v>538</v>
      </c>
    </row>
    <row r="118" spans="1:12" x14ac:dyDescent="0.3">
      <c r="A118" s="6">
        <v>3</v>
      </c>
      <c r="B118">
        <v>344</v>
      </c>
      <c r="F118" s="5" t="s">
        <v>2519</v>
      </c>
      <c r="G118" s="5" t="s">
        <v>9</v>
      </c>
    </row>
    <row r="119" spans="1:12" x14ac:dyDescent="0.3">
      <c r="A119" s="6">
        <v>4</v>
      </c>
      <c r="B119">
        <v>200</v>
      </c>
      <c r="F119" s="5" t="s">
        <v>2548</v>
      </c>
      <c r="G119">
        <v>1</v>
      </c>
      <c r="H119">
        <v>2</v>
      </c>
      <c r="I119">
        <v>3</v>
      </c>
      <c r="J119">
        <v>4</v>
      </c>
      <c r="K119">
        <v>5</v>
      </c>
      <c r="L119" t="s">
        <v>2524</v>
      </c>
    </row>
    <row r="120" spans="1:12" x14ac:dyDescent="0.3">
      <c r="A120" s="6">
        <v>5</v>
      </c>
      <c r="B120">
        <v>94</v>
      </c>
      <c r="F120" t="s">
        <v>2542</v>
      </c>
      <c r="G120">
        <v>7</v>
      </c>
      <c r="H120">
        <v>37</v>
      </c>
      <c r="I120">
        <v>150</v>
      </c>
      <c r="J120">
        <v>312</v>
      </c>
      <c r="K120">
        <v>224</v>
      </c>
      <c r="L120">
        <v>730</v>
      </c>
    </row>
    <row r="121" spans="1:12" x14ac:dyDescent="0.3">
      <c r="A121" s="6">
        <v>6</v>
      </c>
      <c r="B121">
        <v>51</v>
      </c>
      <c r="F121" t="s">
        <v>2543</v>
      </c>
      <c r="G121">
        <v>8</v>
      </c>
      <c r="H121">
        <v>51</v>
      </c>
      <c r="I121">
        <v>182</v>
      </c>
      <c r="J121">
        <v>373</v>
      </c>
      <c r="K121">
        <v>247</v>
      </c>
      <c r="L121">
        <v>861</v>
      </c>
    </row>
    <row r="122" spans="1:12" x14ac:dyDescent="0.3">
      <c r="A122" s="6">
        <v>7</v>
      </c>
      <c r="B122">
        <v>32</v>
      </c>
      <c r="F122" t="s">
        <v>2544</v>
      </c>
      <c r="G122">
        <v>6</v>
      </c>
      <c r="H122">
        <v>39</v>
      </c>
      <c r="I122">
        <v>163</v>
      </c>
      <c r="J122">
        <v>351</v>
      </c>
      <c r="K122">
        <v>250</v>
      </c>
      <c r="L122">
        <v>809</v>
      </c>
    </row>
    <row r="123" spans="1:12" x14ac:dyDescent="0.3">
      <c r="A123" s="6">
        <v>8</v>
      </c>
      <c r="B123">
        <v>23</v>
      </c>
      <c r="F123" t="s">
        <v>2524</v>
      </c>
      <c r="G123">
        <v>21</v>
      </c>
      <c r="H123">
        <v>127</v>
      </c>
      <c r="I123">
        <v>495</v>
      </c>
      <c r="J123">
        <v>1036</v>
      </c>
      <c r="K123">
        <v>721</v>
      </c>
      <c r="L123">
        <v>2400</v>
      </c>
    </row>
    <row r="124" spans="1:12" x14ac:dyDescent="0.3">
      <c r="A124" s="6">
        <v>9</v>
      </c>
      <c r="B124">
        <v>9</v>
      </c>
    </row>
    <row r="125" spans="1:12" x14ac:dyDescent="0.3">
      <c r="A125" s="6">
        <v>10</v>
      </c>
      <c r="B125">
        <v>8</v>
      </c>
    </row>
    <row r="126" spans="1:12" x14ac:dyDescent="0.3">
      <c r="A126" s="6">
        <v>11</v>
      </c>
      <c r="B126">
        <v>11</v>
      </c>
    </row>
    <row r="127" spans="1:12" x14ac:dyDescent="0.3">
      <c r="A127" s="6">
        <v>12</v>
      </c>
      <c r="B127">
        <v>4</v>
      </c>
    </row>
    <row r="128" spans="1:12" x14ac:dyDescent="0.3">
      <c r="A128" s="6">
        <v>13</v>
      </c>
      <c r="B128">
        <v>10</v>
      </c>
    </row>
    <row r="129" spans="1:2" x14ac:dyDescent="0.3">
      <c r="A129" s="6">
        <v>14</v>
      </c>
      <c r="B129">
        <v>13</v>
      </c>
    </row>
    <row r="130" spans="1:2" x14ac:dyDescent="0.3">
      <c r="A130" s="6" t="s">
        <v>2524</v>
      </c>
      <c r="B130">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990AA-599D-4536-8E24-FE132A14F672}">
  <dimension ref="A2:L10"/>
  <sheetViews>
    <sheetView showGridLines="0" workbookViewId="0">
      <selection activeCell="H4" sqref="H4:L9"/>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1.44140625" customWidth="1"/>
    <col min="9" max="9" width="8.5546875" customWidth="1"/>
  </cols>
  <sheetData>
    <row r="2" spans="1:12" x14ac:dyDescent="0.3">
      <c r="H2" t="s">
        <v>2535</v>
      </c>
    </row>
    <row r="3" spans="1:12" ht="15" thickBot="1" x14ac:dyDescent="0.35">
      <c r="A3" s="5" t="s">
        <v>2521</v>
      </c>
      <c r="B3" s="5" t="s">
        <v>2530</v>
      </c>
    </row>
    <row r="4" spans="1:12" ht="28.2" customHeight="1" thickTop="1" x14ac:dyDescent="0.3">
      <c r="A4" s="17" t="s">
        <v>2523</v>
      </c>
      <c r="B4" s="6" t="s">
        <v>2531</v>
      </c>
      <c r="C4" s="6" t="s">
        <v>2532</v>
      </c>
      <c r="D4" s="6" t="s">
        <v>2533</v>
      </c>
      <c r="E4" s="6" t="s">
        <v>2534</v>
      </c>
      <c r="F4" s="6" t="s">
        <v>2524</v>
      </c>
      <c r="H4" s="9"/>
      <c r="I4" s="10" t="str">
        <f t="shared" ref="I4:I9" si="0">B4</f>
        <v>Female</v>
      </c>
      <c r="J4" s="10" t="str">
        <f t="shared" ref="J4:L4" si="1">C4</f>
        <v>Male</v>
      </c>
      <c r="K4" s="10" t="str">
        <f t="shared" si="1"/>
        <v>Other</v>
      </c>
      <c r="L4" s="11" t="str">
        <f t="shared" si="1"/>
        <v>Unknown</v>
      </c>
    </row>
    <row r="5" spans="1:12" ht="28.2" customHeight="1" x14ac:dyDescent="0.3">
      <c r="A5" s="6" t="s">
        <v>18</v>
      </c>
      <c r="B5" s="7">
        <v>0.18961825201634841</v>
      </c>
      <c r="C5" s="7">
        <v>0.12262322351336576</v>
      </c>
      <c r="D5" s="7">
        <v>1.060537752469185E-2</v>
      </c>
      <c r="E5" s="7">
        <v>3.0599220547662797E-2</v>
      </c>
      <c r="F5" s="7">
        <v>0.35344607360206881</v>
      </c>
      <c r="H5" s="12" t="str">
        <f>A5</f>
        <v>App</v>
      </c>
      <c r="I5" s="8">
        <f t="shared" si="0"/>
        <v>0.18961825201634841</v>
      </c>
      <c r="J5" s="8">
        <f t="shared" ref="J5:L9" si="2">C5</f>
        <v>0.12262322351336576</v>
      </c>
      <c r="K5" s="8">
        <f t="shared" si="2"/>
        <v>1.060537752469185E-2</v>
      </c>
      <c r="L5" s="13">
        <f t="shared" si="2"/>
        <v>3.0599220547662797E-2</v>
      </c>
    </row>
    <row r="6" spans="1:12" ht="28.2" customHeight="1" x14ac:dyDescent="0.3">
      <c r="A6" s="6" t="s">
        <v>51</v>
      </c>
      <c r="B6" s="7">
        <v>5.0283982091147303E-2</v>
      </c>
      <c r="C6" s="7">
        <v>4.3060781812819873E-2</v>
      </c>
      <c r="D6" s="7">
        <v>1.5320025675641944E-3</v>
      </c>
      <c r="E6" s="7">
        <v>1.7794988689097006E-2</v>
      </c>
      <c r="F6" s="7">
        <v>0.11267175516062837</v>
      </c>
      <c r="H6" s="12" t="str">
        <f>A6</f>
        <v>Instagram</v>
      </c>
      <c r="I6" s="8">
        <f t="shared" si="0"/>
        <v>5.0283982091147303E-2</v>
      </c>
      <c r="J6" s="8">
        <f t="shared" si="2"/>
        <v>4.3060781812819873E-2</v>
      </c>
      <c r="K6" s="8">
        <f t="shared" si="2"/>
        <v>1.5320025675641944E-3</v>
      </c>
      <c r="L6" s="13">
        <f t="shared" si="2"/>
        <v>1.7794988689097006E-2</v>
      </c>
    </row>
    <row r="7" spans="1:12" ht="28.2" customHeight="1" x14ac:dyDescent="0.3">
      <c r="A7" s="6" t="s">
        <v>70</v>
      </c>
      <c r="B7" s="7">
        <v>6.3496059750411282E-2</v>
      </c>
      <c r="C7" s="7">
        <v>4.6071629863988765E-2</v>
      </c>
      <c r="D7" s="7">
        <v>2.306247051322625E-3</v>
      </c>
      <c r="E7" s="7">
        <v>3.8927934093844286E-3</v>
      </c>
      <c r="F7" s="7">
        <v>0.11576673007510711</v>
      </c>
      <c r="H7" s="12" t="str">
        <f>A7</f>
        <v>Partner App</v>
      </c>
      <c r="I7" s="8">
        <f t="shared" si="0"/>
        <v>6.3496059750411282E-2</v>
      </c>
      <c r="J7" s="8">
        <f t="shared" si="2"/>
        <v>4.6071629863988765E-2</v>
      </c>
      <c r="K7" s="8">
        <f t="shared" si="2"/>
        <v>2.306247051322625E-3</v>
      </c>
      <c r="L7" s="13">
        <f t="shared" si="2"/>
        <v>3.8927934093844286E-3</v>
      </c>
    </row>
    <row r="8" spans="1:12" ht="28.2" customHeight="1" x14ac:dyDescent="0.3">
      <c r="A8" s="6" t="s">
        <v>40</v>
      </c>
      <c r="B8" s="7">
        <v>9.6337892927149532E-2</v>
      </c>
      <c r="C8" s="7">
        <v>6.7920115842382611E-2</v>
      </c>
      <c r="D8" s="7">
        <v>5.4979832664581261E-3</v>
      </c>
      <c r="E8" s="7">
        <v>1.2933041488102518E-2</v>
      </c>
      <c r="F8" s="7">
        <v>0.1826890335240928</v>
      </c>
      <c r="H8" s="12" t="str">
        <f>A8</f>
        <v>Target.com</v>
      </c>
      <c r="I8" s="8">
        <f t="shared" si="0"/>
        <v>9.6337892927149532E-2</v>
      </c>
      <c r="J8" s="8">
        <f t="shared" si="2"/>
        <v>6.7920115842382611E-2</v>
      </c>
      <c r="K8" s="8">
        <f t="shared" si="2"/>
        <v>5.4979832664581261E-3</v>
      </c>
      <c r="L8" s="13">
        <f t="shared" si="2"/>
        <v>1.2933041488102518E-2</v>
      </c>
    </row>
    <row r="9" spans="1:12" ht="28.2" customHeight="1" thickBot="1" x14ac:dyDescent="0.35">
      <c r="A9" s="6" t="s">
        <v>35</v>
      </c>
      <c r="B9" s="7">
        <v>0.12522098709469262</v>
      </c>
      <c r="C9" s="7">
        <v>9.1492740283116228E-2</v>
      </c>
      <c r="D9" s="7">
        <v>6.3042760790965081E-3</v>
      </c>
      <c r="E9" s="7">
        <v>1.2408404181197551E-2</v>
      </c>
      <c r="F9" s="7">
        <v>0.23542640763810288</v>
      </c>
      <c r="H9" s="14" t="str">
        <f>A9</f>
        <v>Website</v>
      </c>
      <c r="I9" s="15">
        <f t="shared" si="0"/>
        <v>0.12522098709469262</v>
      </c>
      <c r="J9" s="15">
        <f t="shared" si="2"/>
        <v>9.1492740283116228E-2</v>
      </c>
      <c r="K9" s="15">
        <f t="shared" si="2"/>
        <v>6.3042760790965081E-3</v>
      </c>
      <c r="L9" s="16">
        <f t="shared" si="2"/>
        <v>1.2408404181197551E-2</v>
      </c>
    </row>
    <row r="10" spans="1:12" ht="15" thickTop="1" x14ac:dyDescent="0.3">
      <c r="A10" s="6" t="s">
        <v>2524</v>
      </c>
      <c r="B10" s="7">
        <v>0.52495717387974916</v>
      </c>
      <c r="C10" s="7">
        <v>0.3711684913156732</v>
      </c>
      <c r="D10" s="7">
        <v>2.6245886489133303E-2</v>
      </c>
      <c r="E10" s="7">
        <v>7.7628448315444312E-2</v>
      </c>
      <c r="F10" s="7">
        <v>1</v>
      </c>
    </row>
  </sheetData>
  <conditionalFormatting sqref="I4:L4">
    <cfRule type="colorScale" priority="1">
      <colorScale>
        <cfvo type="min"/>
        <cfvo type="percentile" val="50"/>
        <cfvo type="max"/>
        <color rgb="FFF8696B"/>
        <color rgb="FFFCFCFF"/>
        <color rgb="FF5A8AC6"/>
      </colorScale>
    </cfRule>
  </conditionalFormatting>
  <conditionalFormatting sqref="I5:L9">
    <cfRule type="colorScale" priority="2">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C19" sqref="C19"/>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8" sqref="B18"/>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97B5-03FB-4F15-845B-15FA5219C939}">
  <dimension ref="A1"/>
  <sheetViews>
    <sheetView tabSelected="1" topLeftCell="B1" zoomScale="60" workbookViewId="0">
      <selection activeCell="AB29" sqref="AB29"/>
    </sheetView>
  </sheetViews>
  <sheetFormatPr defaultRowHeight="14.4" x14ac:dyDescent="0.3"/>
  <cols>
    <col min="1" max="1" width="1.88671875" hidden="1" customWidth="1"/>
    <col min="2" max="2" width="37.77734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Sheet5</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Devi Priya</cp:lastModifiedBy>
  <dcterms:created xsi:type="dcterms:W3CDTF">2025-06-13T02:42:26Z</dcterms:created>
  <dcterms:modified xsi:type="dcterms:W3CDTF">2026-02-02T10:33:04Z</dcterms:modified>
</cp:coreProperties>
</file>